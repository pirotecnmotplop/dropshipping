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9.xml" ContentType="application/vnd.openxmlformats-officedocument.spreadsheetml.worksheet+xml"/>
  <Override PartName="/xl/tables/table14.xml" ContentType="application/vnd.openxmlformats-officedocument.spreadsheetml.table+xml"/>
  <Override PartName="/xl/worksheets/sheet10.xml" ContentType="application/vnd.openxmlformats-officedocument.spreadsheetml.worksheet+xml"/>
  <Override PartName="/xl/tables/table15.xml" ContentType="application/vnd.openxmlformats-officedocument.spreadsheetml.table+xml"/>
  <Override PartName="/xl/worksheets/sheet11.xml" ContentType="application/vnd.openxmlformats-officedocument.spreadsheetml.worksheet+xml"/>
  <Override PartName="/xl/tables/table16.xml" ContentType="application/vnd.openxmlformats-officedocument.spreadsheetml.table+xml"/>
  <Override PartName="/xl/worksheets/sheet12.xml" ContentType="application/vnd.openxmlformats-officedocument.spreadsheetml.worksheet+xml"/>
  <Override PartName="/xl/tables/table17.xml" ContentType="application/vnd.openxmlformats-officedocument.spreadsheetml.table+xml"/>
  <Override PartName="/xl/worksheets/sheet13.xml" ContentType="application/vnd.openxmlformats-officedocument.spreadsheetml.worksheet+xml"/>
  <Override PartName="/xl/tables/table18.xml" ContentType="application/vnd.openxmlformats-officedocument.spreadsheetml.table+xml"/>
  <Override PartName="/xl/worksheets/sheet14.xml" ContentType="application/vnd.openxmlformats-officedocument.spreadsheetml.worksheet+xml"/>
  <Override PartName="/xl/tables/table19.xml" ContentType="application/vnd.openxmlformats-officedocument.spreadsheetml.table+xml"/>
  <Override PartName="/xl/worksheets/sheet15.xml" ContentType="application/vnd.openxmlformats-officedocument.spreadsheetml.worksheet+xml"/>
  <Override PartName="/xl/tables/table20.xml" ContentType="application/vnd.openxmlformats-officedocument.spreadsheetml.table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7.xml" ContentType="application/vnd.openxmlformats-officedocument.spreadsheetml.worksheet+xml"/>
  <Override PartName="/xl/tables/table2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Escolha_Principal" sheetId="1" state="visible" r:id="rId1"/>
    <sheet name="01 Visao_Geral" sheetId="2" state="visible" r:id="rId2"/>
    <sheet name="02 Modelo_Negocio" sheetId="3" state="visible" r:id="rId3"/>
    <sheet name="03 Nichos" sheetId="4" state="visible" r:id="rId4"/>
    <sheet name="04 Produtos" sheetId="5" state="visible" r:id="rId5"/>
    <sheet name="05 Fornecedores" sheetId="6" state="visible" r:id="rId6"/>
    <sheet name="06 Custos_Iniciais" sheetId="7" state="visible" r:id="rId7"/>
    <sheet name="07 Precificacao" sheetId="8" state="visible" r:id="rId8"/>
    <sheet name="08 Loja" sheetId="9" state="visible" r:id="rId9"/>
    <sheet name="09 Anuncios_Pagos" sheetId="10" state="visible" r:id="rId10"/>
    <sheet name="10 Trafego_Organico" sheetId="11" state="visible" r:id="rId11"/>
    <sheet name="11 Cronograma_30_Dias" sheetId="12" state="visible" r:id="rId12"/>
    <sheet name="12 Riscos" sheetId="13" state="visible" r:id="rId13"/>
    <sheet name="13 Legal_Brasil" sheetId="14" state="visible" r:id="rId14"/>
    <sheet name="14 Ferramentas" sheetId="15" state="visible" r:id="rId15"/>
    <sheet name="15 Financeiro_3_Meses" sheetId="16" state="visible" r:id="rId16"/>
    <sheet name="16 Checklist_Final" sheetId="17" state="visible" r:id="rId17"/>
  </sheets>
  <definedNames>
    <definedName name="_xlnm._FilterDatabase" localSheetId="0" hidden="1">'00 Escolha_Principal'!$K$17:$L$23</definedName>
    <definedName name="_xlnm._FilterDatabase" localSheetId="1" hidden="1">'01 Visao_Geral'!$A$1:$B$10</definedName>
    <definedName name="_xlnm.Print_Titles" localSheetId="1">'01 Visao_Geral'!$1:$1</definedName>
    <definedName name="_xlnm._FilterDatabase" localSheetId="2" hidden="1">'02 Modelo_Negocio'!$A$1:$E$14</definedName>
    <definedName name="_xlnm.Print_Titles" localSheetId="2">'02 Modelo_Negocio'!$1:$1</definedName>
    <definedName name="_xlnm._FilterDatabase" localSheetId="3" hidden="1">'03 Nichos'!$A$1:$L$7</definedName>
    <definedName name="_xlnm.Print_Titles" localSheetId="3">'03 Nichos'!$1:$1</definedName>
    <definedName name="_xlnm._FilterDatabase" localSheetId="4" hidden="1">'04 Produtos'!$A$1:$N$23</definedName>
    <definedName name="_xlnm.Print_Titles" localSheetId="4">'04 Produtos'!$1:$1</definedName>
    <definedName name="_xlnm._FilterDatabase" localSheetId="5" hidden="1">'05 Fornecedores'!$A$1:$L$11</definedName>
    <definedName name="_xlnm.Print_Titles" localSheetId="5">'05 Fornecedores'!$1:$1</definedName>
    <definedName name="_xlnm._FilterDatabase" localSheetId="6" hidden="1">'06 Custos_Iniciais'!$A$1:$F$16</definedName>
    <definedName name="_xlnm.Print_Titles" localSheetId="6">'06 Custos_Iniciais'!$1:$1</definedName>
    <definedName name="_xlnm._FilterDatabase" localSheetId="7" hidden="1">'07 Precificacao'!$A$14:$C$23</definedName>
    <definedName name="_xlnm.Print_Titles" localSheetId="7">'07 Precificacao'!$1:$1</definedName>
    <definedName name="_xlnm._FilterDatabase" localSheetId="8" hidden="1">'08 Loja'!$A$1:$E$19</definedName>
    <definedName name="_xlnm.Print_Titles" localSheetId="8">'08 Loja'!$1:$1</definedName>
    <definedName name="_xlnm._FilterDatabase" localSheetId="9" hidden="1">'09 Anuncios_Pagos'!$A$1:$J$5</definedName>
    <definedName name="_xlnm.Print_Titles" localSheetId="9">'09 Anuncios_Pagos'!$1:$1</definedName>
    <definedName name="_xlnm._FilterDatabase" localSheetId="10" hidden="1">'10 Trafego_Organico'!$A$1:$G$9</definedName>
    <definedName name="_xlnm.Print_Titles" localSheetId="10">'10 Trafego_Organico'!$1:$1</definedName>
    <definedName name="_xlnm._FilterDatabase" localSheetId="11" hidden="1">'11 Cronograma_30_Dias'!$A$1:$G$31</definedName>
    <definedName name="_xlnm.Print_Titles" localSheetId="11">'11 Cronograma_30_Dias'!$1:$1</definedName>
    <definedName name="_xlnm._FilterDatabase" localSheetId="12" hidden="1">'12 Riscos'!$A$1:$G$16</definedName>
    <definedName name="_xlnm.Print_Titles" localSheetId="12">'12 Riscos'!$1:$1</definedName>
    <definedName name="_xlnm._FilterDatabase" localSheetId="13" hidden="1">'13 Legal_Brasil'!$A$1:$E$14</definedName>
    <definedName name="_xlnm.Print_Titles" localSheetId="13">'13 Legal_Brasil'!$1:$1</definedName>
    <definedName name="_xlnm._FilterDatabase" localSheetId="14" hidden="1">'14 Ferramentas'!$A$1:$H$21</definedName>
    <definedName name="_xlnm.Print_Titles" localSheetId="14">'14 Ferramentas'!$1:$1</definedName>
    <definedName name="_xlnm._FilterDatabase" localSheetId="15" hidden="1">'15 Financeiro_3_Meses'!$A$16:$D$19</definedName>
    <definedName name="_xlnm.Print_Titles" localSheetId="15">'15 Financeiro_3_Meses'!$1:$1</definedName>
    <definedName name="_xlnm._FilterDatabase" localSheetId="16" hidden="1">'16 Checklist_Final'!$A$1:$E$19</definedName>
    <definedName name="_xlnm.Print_Titles" localSheetId="16">'16 Checklist_Final'!$1:$1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"/>
    <numFmt numFmtId="166" formatCode="0.0%"/>
    <numFmt numFmtId="167" formatCode="0.00&quot;x&quot;"/>
  </numFmts>
  <fonts count="10">
    <font>
      <name val="Calibri"/>
      <family val="2"/>
      <color theme="1"/>
      <sz val="11"/>
      <scheme val="minor"/>
    </font>
    <font>
      <b val="1"/>
      <color rgb="0017365D"/>
      <sz val="16"/>
    </font>
    <font>
      <i val="1"/>
      <color rgb="00666666"/>
    </font>
    <font>
      <b val="1"/>
      <color rgb="00FFFFFF"/>
      <sz val="10"/>
    </font>
    <font>
      <b val="1"/>
      <color rgb="00FFFFFF"/>
      <sz val="12"/>
    </font>
    <font>
      <b val="1"/>
      <color rgb="00FFFFFF"/>
    </font>
    <font>
      <color rgb="001F4E78"/>
    </font>
    <font>
      <b val="1"/>
      <color rgb="002E7D32"/>
    </font>
    <font>
      <b val="1"/>
      <color rgb="001F4E78"/>
    </font>
    <font>
      <b val="1"/>
      <color rgb="0017365D"/>
    </font>
  </fonts>
  <fills count="11">
    <fill>
      <patternFill/>
    </fill>
    <fill>
      <patternFill patternType="gray125"/>
    </fill>
    <fill>
      <patternFill patternType="solid">
        <fgColor rgb="00F3F6F8"/>
      </patternFill>
    </fill>
    <fill>
      <patternFill patternType="solid">
        <fgColor rgb="001F4E78"/>
      </patternFill>
    </fill>
    <fill>
      <patternFill patternType="solid">
        <fgColor rgb="002E7D32"/>
      </patternFill>
    </fill>
    <fill>
      <patternFill patternType="solid">
        <fgColor rgb="00674EA7"/>
      </patternFill>
    </fill>
    <fill>
      <patternFill patternType="solid">
        <fgColor rgb="00F6B26B"/>
      </patternFill>
    </fill>
    <fill>
      <patternFill patternType="solid">
        <fgColor rgb="0017365D"/>
      </patternFill>
    </fill>
    <fill>
      <patternFill patternType="solid">
        <fgColor rgb="00D9EAD3"/>
      </patternFill>
    </fill>
    <fill>
      <patternFill patternType="solid">
        <fgColor rgb="00EAF2F8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2" borderId="1" pivotButton="0" quotePrefix="0" xfId="0"/>
    <xf numFmtId="0" fontId="5" fillId="3" borderId="1" applyAlignment="1" pivotButton="0" quotePrefix="0" xfId="0">
      <alignment horizontal="center" vertical="top" wrapText="1"/>
    </xf>
    <xf numFmtId="165" fontId="0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164" fontId="8" fillId="8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9" fillId="9" borderId="1" applyAlignment="1" applyProtection="1" pivotButton="0" quotePrefix="0" xfId="0">
      <alignment vertical="top" wrapText="1"/>
      <protection locked="0" hidden="0"/>
    </xf>
    <xf numFmtId="166" fontId="9" fillId="9" borderId="1" applyAlignment="1" applyProtection="1" pivotButton="0" quotePrefix="0" xfId="0">
      <alignment vertical="top" wrapText="1"/>
      <protection locked="0" hidden="0"/>
    </xf>
    <xf numFmtId="164" fontId="8" fillId="10" borderId="1" applyAlignment="1" pivotButton="0" quotePrefix="0" xfId="0">
      <alignment vertical="top" wrapText="1"/>
    </xf>
    <xf numFmtId="166" fontId="8" fillId="10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167" fontId="8" fillId="10" borderId="1" applyAlignment="1" pivotButton="0" quotePrefix="0" xfId="0">
      <alignment vertical="top" wrapText="1"/>
    </xf>
    <xf numFmtId="0" fontId="0" fillId="0" borderId="1" pivotButton="0" quotePrefix="0" xfId="0"/>
    <xf numFmtId="3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D9EAD3"/>
        </patternFill>
      </fill>
    </dxf>
    <dxf>
      <font>
        <b val="1"/>
        <color rgb="007A4D00"/>
      </font>
      <fill>
        <patternFill patternType="solid">
          <fgColor rgb="00FFF2CC"/>
        </patternFill>
      </fill>
    </dxf>
    <dxf>
      <font>
        <b val="1"/>
        <color rgb="00C00000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Ranking de nichos por nota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 Escolha_Principal'!B17</f>
            </strRef>
          </tx>
          <spPr>
            <a:ln>
              <a:prstDash val="solid"/>
            </a:ln>
          </spPr>
          <cat>
            <numRef>
              <f>'00 Escolha_Principal'!$A$18:$A$23</f>
            </numRef>
          </cat>
          <val>
            <numRef>
              <f>'00 Escolha_Principal'!$B$18:$B$23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Nicho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Custos por cenário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 Escolha_Principal'!F17</f>
            </strRef>
          </tx>
          <spPr>
            <a:ln>
              <a:prstDash val="solid"/>
            </a:ln>
          </spPr>
          <cat>
            <numRef>
              <f>'00 Escolha_Principal'!$E$18:$E$20</f>
            </numRef>
          </cat>
          <val>
            <numRef>
              <f>'00 Escolha_Principal'!$F$18:$F$20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Lucro estimado no mês 3</a:t>
            </a:r>
          </a:p>
        </rich>
      </tx>
    </title>
    <plotArea>
      <lineChart>
        <grouping val="standard"/>
        <ser>
          <idx val="0"/>
          <order val="0"/>
          <tx>
            <strRef>
              <f>'00 Escolha_Principal'!I17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'00 Escolha_Principal'!$H$18:$H$20</f>
            </numRef>
          </cat>
          <val>
            <numRef>
              <f>'00 Escolha_Principal'!$I$18:$I$20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Lucro líquido por cenário no mês 3</a:t>
            </a:r>
          </a:p>
        </rich>
      </tx>
    </title>
    <plotArea>
      <lineChart>
        <grouping val="standard"/>
        <ser>
          <idx val="0"/>
          <order val="0"/>
          <tx>
            <strRef>
              <f>'15 Financeiro_3_Meses'!B16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 Financeiro_3_Meses'!$A$17:$A$19</f>
            </numRef>
          </cat>
          <val>
            <numRef>
              <f>'15 Financeiro_3_Meses'!$B$17:$B$19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B5" authorId="0" shapeId="0">
      <text>
        <t>Edite este valor para simular: Custo do produto.</t>
      </text>
    </comment>
    <comment ref="B6" authorId="0" shapeId="0">
      <text>
        <t>Edite este valor para simular: Frete.</t>
      </text>
    </comment>
    <comment ref="B7" authorId="0" shapeId="0">
      <text>
        <t>Edite este valor para simular: Taxa da plataforma.</t>
      </text>
    </comment>
    <comment ref="B8" authorId="0" shapeId="0">
      <text>
        <t>Edite este valor para simular: Taxa do pagamento.</t>
      </text>
    </comment>
    <comment ref="B9" authorId="0" shapeId="0">
      <text>
        <t>Edite este valor para simular: Imposto estimado.</t>
      </text>
    </comment>
    <comment ref="B10" authorId="0" shapeId="0">
      <text>
        <t>Edite este valor para simular: CPA/anúncio.</t>
      </text>
    </comment>
    <comment ref="B11" authorId="0" shapeId="0">
      <text>
        <t>Edite este valor para simular: Reserva para reembolso.</t>
      </text>
    </comment>
    <comment ref="B12" authorId="0" shapeId="0">
      <text>
        <t>Edite este valor para simular: Margem desejada.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25</row>
      <rowOff>0</rowOff>
    </from>
    <ext cx="32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25</row>
      <rowOff>0</rowOff>
    </from>
    <ext cx="324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16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_Dashboard_Resumo" displayName="Tabela_Dashboard_Resumo" ref="A9:B14" headerRowCount="1">
  <autoFilter ref="A9:B14"/>
  <tableColumns count="2">
    <tableColumn id="1" name="Resumo executivo"/>
    <tableColumn id="2" name="Decisão recomenda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_Dashboard_Nichos" displayName="Tabela_Dashboard_Nichos" ref="A17:C23" headerRowCount="1">
  <autoFilter ref="A17:C23"/>
  <tableColumns count="3">
    <tableColumn id="1" name="Nicho"/>
    <tableColumn id="2" name="Nota"/>
    <tableColumn id="3" name="Recomenda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ela_Dashboard_Custos" displayName="Tabela_Dashboard_Custos" ref="E17:F20" headerRowCount="1">
  <autoFilter ref="E17:F20"/>
  <tableColumns count="2">
    <tableColumn id="5" name="Cenário"/>
    <tableColumn id="6" name="Investimento estimado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ela_Dashboard_Lucro" displayName="Tabela_Dashboard_Lucro" ref="H17:I20" headerRowCount="1">
  <autoFilter ref="H17:I20"/>
  <tableColumns count="2">
    <tableColumn id="8" name="Cenário"/>
    <tableColumn id="9" name="Lucro estimado no mês 3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id="5" name="Tabela_Dashboard_Evitar" displayName="Tabela_Dashboard_Evitar" ref="K17:L23" headerRowCount="1">
  <autoFilter ref="K17:L23"/>
  <tableColumns count="2">
    <tableColumn id="11" name="Evitar no começo"/>
    <tableColumn id="12" name="Motivo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6" name="Tabela_Visao_Geral" displayName="Tabela_Visao_Geral" ref="A1:B10" headerRowCount="1">
  <autoFilter ref="A1:B10"/>
  <tableColumns count="2">
    <tableColumn id="1" name="Tema"/>
    <tableColumn id="2" name="Resumo prátic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a_Modelo_Negocio" displayName="Tabela_Modelo_Negocio" ref="A1:E14" headerRowCount="1">
  <autoFilter ref="A1:E14"/>
  <tableColumns count="5">
    <tableColumn id="1" name="Etapa"/>
    <tableColumn id="2" name="O que fazer"/>
    <tableColumn id="3" name="Ferramenta sugerida"/>
    <tableColumn id="4" name="Erro comum"/>
    <tableColumn id="5" name="Como evita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a_Nichos" displayName="Tabela_Nichos" ref="A1:L7" headerRowCount="1">
  <autoFilter ref="A1:L7"/>
  <tableColumns count="12">
    <tableColumn id="1" name="Ranking"/>
    <tableColumn id="2" name="Nicho"/>
    <tableColumn id="3" name="Nota de 0 a 10"/>
    <tableColumn id="4" name="Potencial de venda"/>
    <tableColumn id="5" name="Concorrência"/>
    <tableColumn id="6" name="Ticket médio estimado"/>
    <tableColumn id="7" name="Facilidade de anunciar"/>
    <tableColumn id="8" name="Risco operacional"/>
    <tableColumn id="9" name="Produtos indicados"/>
    <tableColumn id="10" name="Perfil do cliente"/>
    <tableColumn id="11" name="Recomendado para iniciante"/>
    <tableColumn id="12" name="Justificativa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Tabela_Produtos" displayName="Tabela_Produtos" ref="A1:N23" headerRowCount="1">
  <autoFilter ref="A1:N23"/>
  <tableColumns count="14">
    <tableColumn id="1" name="Nicho"/>
    <tableColumn id="2" name="Produto"/>
    <tableColumn id="3" name="Problema que resolve"/>
    <tableColumn id="4" name="Público-alvo"/>
    <tableColumn id="5" name="Custo estimado"/>
    <tableColumn id="6" name="Frete estimado"/>
    <tableColumn id="7" name="Preço de venda sugerido"/>
    <tableColumn id="8" name="Taxas estimadas"/>
    <tableColumn id="9" name="CPA máximo aceitável"/>
    <tableColumn id="10" name="Margem estimada"/>
    <tableColumn id="11" name="Risco"/>
    <tableColumn id="12" name="Fornecedor sugerido"/>
    <tableColumn id="13" name="Tipo de criativo ideal"/>
    <tableColumn id="14" name="Observações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id="10" name="Tabela_Fornecedores" displayName="Tabela_Fornecedores" ref="A1:L11" headerRowCount="1">
  <autoFilter ref="A1:L11"/>
  <tableColumns count="12">
    <tableColumn id="1" name="Fornecedor/Plataforma"/>
    <tableColumn id="2" name="Tipo"/>
    <tableColumn id="3" name="Melhor uso"/>
    <tableColumn id="4" name="Vantagens"/>
    <tableColumn id="5" name="Desvantagens"/>
    <tableColumn id="6" name="Prazo estimado"/>
    <tableColumn id="7" name="Integrações"/>
    <tableColumn id="8" name="Custo aproximado"/>
    <tableColumn id="9" name="Nível de confiança"/>
    <tableColumn id="10" name="Indicado para iniciante"/>
    <tableColumn id="11" name="Cuidados antes de usar"/>
    <tableColumn id="12" name="Link oficial ou campo para validação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id="11" name="Tabela_Custos_Iniciais" displayName="Tabela_Custos_Iniciais" ref="A1:F16" headerRowCount="1">
  <autoFilter ref="A1:F16"/>
  <tableColumns count="6">
    <tableColumn id="1" name="Categoria"/>
    <tableColumn id="2" name="Item"/>
    <tableColumn id="3" name="Econômico"/>
    <tableColumn id="4" name="Intermediário"/>
    <tableColumn id="5" name="Profissional"/>
    <tableColumn id="6" name="Observações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Tabela_Precificacao_Inputs" displayName="Tabela_Precificacao_Inputs" ref="A4:C12" headerRowCount="1">
  <autoFilter ref="A4:C12"/>
  <tableColumns count="3">
    <tableColumn id="1" name="Campo editável"/>
    <tableColumn id="2" name="Valor"/>
    <tableColumn id="3" name="Observaçã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ela_Precificacao_Resultados" displayName="Tabela_Precificacao_Resultados" ref="A14:C23" headerRowCount="1">
  <autoFilter ref="A14:C23"/>
  <tableColumns count="3">
    <tableColumn id="1" name="Campo calculado"/>
    <tableColumn id="2" name="Valor"/>
    <tableColumn id="3" name="Leitur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ela_Loja" displayName="Tabela_Loja" ref="A1:E19" headerRowCount="1">
  <autoFilter ref="A1:E19"/>
  <tableColumns count="5">
    <tableColumn id="1" name="Item"/>
    <tableColumn id="2" name="Por que é importante"/>
    <tableColumn id="3" name="Como fazer bem"/>
    <tableColumn id="4" name="Erro comum"/>
    <tableColumn id="5" name="Stat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ela_Anuncios_Pagos" displayName="Tabela_Anuncios_Pagos" ref="A1:J5" headerRowCount="1">
  <autoFilter ref="A1:J5"/>
  <tableColumns count="10">
    <tableColumn id="1" name="Dia/Semana"/>
    <tableColumn id="2" name="Plataforma"/>
    <tableColumn id="3" name="Objetivo"/>
    <tableColumn id="4" name="Campanha"/>
    <tableColumn id="5" name="Orçamento diário"/>
    <tableColumn id="6" name="Criativos"/>
    <tableColumn id="7" name="Métrica principal"/>
    <tableColumn id="8" name="Regra para pausar"/>
    <tableColumn id="9" name="Regra para escalar"/>
    <tableColumn id="10" name="Observações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id="16" name="Tabela_Trafego_Organico" displayName="Tabela_Trafego_Organico" ref="A1:G9" headerRowCount="1">
  <autoFilter ref="A1:G9"/>
  <tableColumns count="7">
    <tableColumn id="1" name="Plataforma"/>
    <tableColumn id="2" name="Frequência"/>
    <tableColumn id="3" name="Tipo de vídeo"/>
    <tableColumn id="4" name="Roteiro curto"/>
    <tableColumn id="5" name="Objetivo"/>
    <tableColumn id="6" name="Produto ideal"/>
    <tableColumn id="7" name="CTA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id="17" name="Tabela_Cronograma_30_Dias" displayName="Tabela_Cronograma_30_Dias" ref="A1:G31" headerRowCount="1">
  <autoFilter ref="A1:G31"/>
  <tableColumns count="7">
    <tableColumn id="1" name="Dia"/>
    <tableColumn id="2" name="Objetivo"/>
    <tableColumn id="3" name="Tarefas"/>
    <tableColumn id="4" name="Entregável do dia"/>
    <tableColumn id="5" name="Ferramentas"/>
    <tableColumn id="6" name="Tempo estimado"/>
    <tableColumn id="7" name="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ela_Riscos" displayName="Tabela_Riscos" ref="A1:G16" headerRowCount="1">
  <autoFilter ref="A1:G16"/>
  <tableColumns count="7">
    <tableColumn id="1" name="Problema"/>
    <tableColumn id="2" name="Causa"/>
    <tableColumn id="3" name="Consequência"/>
    <tableColumn id="4" name="Como prevenir"/>
    <tableColumn id="5" name="Como resolver"/>
    <tableColumn id="6" name="Gravidade"/>
    <tableColumn id="7" name="Probabilidade"/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id="19" name="Tabela_Legal_Brasil" displayName="Tabela_Legal_Brasil" ref="A1:E14" headerRowCount="1">
  <autoFilter ref="A1:E14"/>
  <tableColumns count="5">
    <tableColumn id="1" name="Tema"/>
    <tableColumn id="2" name="Explicação simples"/>
    <tableColumn id="3" name="O que fazer"/>
    <tableColumn id="4" name="Risco se ignorar"/>
    <tableColumn id="5" name="Fonte ou validação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ela_Ferramentas" displayName="Tabela_Ferramentas" ref="A1:H21" headerRowCount="1">
  <autoFilter ref="A1:H21"/>
  <tableColumns count="8">
    <tableColumn id="1" name="Categoria"/>
    <tableColumn id="2" name="Ferramenta"/>
    <tableColumn id="3" name="Função"/>
    <tableColumn id="4" name="Preço aproximado"/>
    <tableColumn id="5" name="Tem plano grátis?"/>
    <tableColumn id="6" name="Alternativa gratuita"/>
    <tableColumn id="7" name="Vale para iniciante?"/>
    <tableColumn id="8" name="Observações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ela_Financeiro_3_Meses" displayName="Tabela_Financeiro_3_Meses" ref="A4:O13" headerRowCount="1">
  <autoFilter ref="A4:O13"/>
  <tableColumns count="15">
    <tableColumn id="1" name="Mês"/>
    <tableColumn id="2" name="Cenário"/>
    <tableColumn id="3" name="Visitas"/>
    <tableColumn id="4" name="Taxa de conversão"/>
    <tableColumn id="5" name="Pedidos"/>
    <tableColumn id="6" name="Ticket médio"/>
    <tableColumn id="7" name="Faturamento"/>
    <tableColumn id="8" name="Custo dos produtos"/>
    <tableColumn id="9" name="Frete"/>
    <tableColumn id="10" name="Taxas"/>
    <tableColumn id="11" name="Anúncios"/>
    <tableColumn id="12" name="Ferramentas"/>
    <tableColumn id="13" name="Reembolsos"/>
    <tableColumn id="14" name="Lucro líquido"/>
    <tableColumn id="15" name="Margem líquida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id="22" name="Tabela_Financeiro_Resumo" displayName="Tabela_Financeiro_Resumo" ref="A16:D19" headerRowCount="1">
  <autoFilter ref="A16:D19"/>
  <tableColumns count="4">
    <tableColumn id="1" name="Cenário"/>
    <tableColumn id="2" name="Lucro líquido no mês 3"/>
    <tableColumn id="3" name="Margem líquida no mês 3"/>
    <tableColumn id="4" name="Faturamento no mês 3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id="23" name="Tabela_Checklist_Final" displayName="Tabela_Checklist_Final" ref="A1:E19" headerRowCount="1">
  <autoFilter ref="A1:E19"/>
  <tableColumns count="5">
    <tableColumn id="1" name="Categoria"/>
    <tableColumn id="2" name="Item"/>
    <tableColumn id="3" name="Obrigatório?"/>
    <tableColumn id="4" name="Status"/>
    <tableColumn id="5" name="Observaçã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Relationship Type="http://schemas.openxmlformats.org/officeDocument/2006/relationships/table" Target="/xl/tables/table3.xml" Id="rId4" /><Relationship Type="http://schemas.openxmlformats.org/officeDocument/2006/relationships/table" Target="/xl/tables/table4.xml" Id="rId5" /><Relationship Type="http://schemas.openxmlformats.org/officeDocument/2006/relationships/table" Target="/xl/tables/table5.xml" Id="rId6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2.xml" Id="rId1" /><Relationship Type="http://schemas.openxmlformats.org/officeDocument/2006/relationships/table" Target="/xl/tables/table13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1.xml" Id="rId2" /><Relationship Type="http://schemas.openxmlformats.org/officeDocument/2006/relationships/table" Target="/xl/tables/table22.xml" Id="rId3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P43"/>
  <sheetViews>
    <sheetView showGridLines="0" zoomScale="85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4" customWidth="1" min="3" max="3"/>
    <col width="18" customWidth="1" min="4" max="4"/>
    <col width="20" customWidth="1" min="5" max="5"/>
    <col width="16" customWidth="1" min="6" max="6"/>
    <col width="16" customWidth="1" min="7" max="7"/>
    <col width="18" customWidth="1" min="8" max="8"/>
    <col width="18" customWidth="1" min="9" max="9"/>
    <col width="14" customWidth="1" min="10" max="10"/>
    <col width="30" customWidth="1" min="11" max="11"/>
    <col width="40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Planejamento de Dropshipping no Brasil</t>
        </is>
      </c>
    </row>
    <row r="2" ht="36" customHeight="1">
      <c r="A2" s="2" t="inlineStr">
        <is>
          <t>Decisão executiva para iniciar com menor risco: foco em utilidade clara, margem realista, fornecedores validados e testes pequenos.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4" t="n"/>
    </row>
    <row r="3"/>
    <row r="4" ht="22" customHeight="1">
      <c r="A4" s="5" t="inlineStr">
        <is>
          <t>Nicho recomendado</t>
        </is>
      </c>
      <c r="B4" s="6" t="n"/>
      <c r="C4" s="6" t="n"/>
      <c r="D4" s="7" t="inlineStr">
        <is>
          <t>Capital inicial</t>
        </is>
      </c>
      <c r="E4" s="8" t="n"/>
      <c r="F4" s="8" t="n"/>
      <c r="G4" s="9" t="inlineStr">
        <is>
          <t>Fornecedor inicial</t>
        </is>
      </c>
      <c r="H4" s="10" t="n"/>
      <c r="I4" s="10" t="n"/>
      <c r="J4" s="11" t="inlineStr">
        <is>
          <t>Canal orgânico</t>
        </is>
      </c>
      <c r="K4" s="12" t="n"/>
      <c r="L4" s="12" t="n"/>
      <c r="M4" s="13" t="inlineStr">
        <is>
          <t>Canal pago</t>
        </is>
      </c>
      <c r="N4" s="14" t="n"/>
      <c r="O4" s="14" t="n"/>
    </row>
    <row r="5" ht="28" customHeight="1">
      <c r="A5" s="15" t="inlineStr">
        <is>
          <t>Casa, organização e utilidades práticas</t>
        </is>
      </c>
      <c r="B5" s="6" t="n"/>
      <c r="C5" s="6" t="n"/>
      <c r="D5" s="16" t="inlineStr">
        <is>
          <t>R$ 400 a R$ 1.000</t>
        </is>
      </c>
      <c r="E5" s="8" t="n"/>
      <c r="F5" s="8" t="n"/>
      <c r="G5" s="17" t="inlineStr">
        <is>
          <t>Dropi ou nacional direto</t>
        </is>
      </c>
      <c r="H5" s="10" t="n"/>
      <c r="I5" s="10" t="n"/>
      <c r="J5" s="18" t="inlineStr">
        <is>
          <t>TikTok + Reels</t>
        </is>
      </c>
      <c r="K5" s="12" t="n"/>
      <c r="L5" s="12" t="n"/>
      <c r="M5" s="19" t="inlineStr">
        <is>
          <t>Meta Ads + TikTok Ads</t>
        </is>
      </c>
      <c r="N5" s="14" t="n"/>
      <c r="O5" s="14" t="n"/>
    </row>
    <row r="6" ht="28" customHeight="1">
      <c r="A6" s="6" t="n"/>
      <c r="B6" s="6" t="n"/>
      <c r="C6" s="6" t="n"/>
      <c r="D6" s="8" t="n"/>
      <c r="E6" s="8" t="n"/>
      <c r="F6" s="8" t="n"/>
      <c r="G6" s="10" t="n"/>
      <c r="H6" s="10" t="n"/>
      <c r="I6" s="10" t="n"/>
      <c r="J6" s="12" t="n"/>
      <c r="K6" s="12" t="n"/>
      <c r="L6" s="12" t="n"/>
      <c r="M6" s="14" t="n"/>
      <c r="N6" s="14" t="n"/>
      <c r="O6" s="14" t="n"/>
    </row>
    <row r="7"/>
    <row r="8"/>
    <row r="9">
      <c r="A9" s="20" t="inlineStr">
        <is>
          <t>Resumo executivo</t>
        </is>
      </c>
      <c r="B9" s="20" t="inlineStr">
        <is>
          <t>Decisão recomendada</t>
        </is>
      </c>
    </row>
    <row r="10">
      <c r="A10" s="21" t="inlineStr">
        <is>
          <t>Produto inicial mais seguro</t>
        </is>
      </c>
      <c r="B10" s="21" t="inlineStr">
        <is>
          <t>Organizador de cabos ou suporte adesivo para tomada</t>
        </is>
      </c>
    </row>
    <row r="11">
      <c r="A11" s="21" t="inlineStr">
        <is>
          <t>Principais riscos</t>
        </is>
      </c>
      <c r="B11" s="21" t="inlineStr">
        <is>
          <t>Prazo longo, fornecedor ruim, margem apertada, reembolso e criativo fraco</t>
        </is>
      </c>
    </row>
    <row r="12">
      <c r="A12" s="21" t="inlineStr">
        <is>
          <t>Estratégia inicial</t>
        </is>
      </c>
      <c r="B12" s="21" t="inlineStr">
        <is>
          <t>Começar com 3 a 5 produtos simples, comprar amostra, criar página limpa, validar criativos orgânicos e só então testar anúncios com orçamento controlado.</t>
        </is>
      </c>
    </row>
    <row r="13">
      <c r="A13" s="21" t="inlineStr">
        <is>
          <t>Caminho de menor risco</t>
        </is>
      </c>
      <c r="B13" s="21" t="inlineStr">
        <is>
          <t>Priorizar fornecedor nacional ou plataforma com rastreio, política clara, checkout simples, atendimento em até 24h e reserva para reembolso.</t>
        </is>
      </c>
    </row>
    <row r="14">
      <c r="A14" s="21" t="inlineStr">
        <is>
          <t>Regra de decisão</t>
        </is>
      </c>
      <c r="B14" s="21" t="inlineStr">
        <is>
          <t>Escalar apenas quando houver margem líquida positiva, entrega previsível, criativo validado e reclamações sob controle.</t>
        </is>
      </c>
    </row>
    <row r="15"/>
    <row r="16"/>
    <row r="17">
      <c r="A17" s="20" t="inlineStr">
        <is>
          <t>Nicho</t>
        </is>
      </c>
      <c r="B17" s="20" t="inlineStr">
        <is>
          <t>Nota</t>
        </is>
      </c>
      <c r="C17" s="20" t="inlineStr">
        <is>
          <t>Recomendado</t>
        </is>
      </c>
      <c r="E17" s="20" t="inlineStr">
        <is>
          <t>Cenário</t>
        </is>
      </c>
      <c r="F17" s="20" t="inlineStr">
        <is>
          <t>Investimento estimado</t>
        </is>
      </c>
      <c r="H17" s="20" t="inlineStr">
        <is>
          <t>Cenário</t>
        </is>
      </c>
      <c r="I17" s="20" t="inlineStr">
        <is>
          <t>Lucro estimado no mês 3</t>
        </is>
      </c>
      <c r="K17" s="20" t="inlineStr">
        <is>
          <t>Evitar no começo</t>
        </is>
      </c>
      <c r="L17" s="20" t="inlineStr">
        <is>
          <t>Motivo</t>
        </is>
      </c>
    </row>
    <row r="18">
      <c r="A18" s="21" t="inlineStr">
        <is>
          <t>Casa, organização e utilidades práticas</t>
        </is>
      </c>
      <c r="B18" s="21" t="n">
        <v>9.699999999999999</v>
      </c>
      <c r="C18" s="21" t="inlineStr">
        <is>
          <t>Sim</t>
        </is>
      </c>
      <c r="E18" s="21" t="inlineStr">
        <is>
          <t>Econômico</t>
        </is>
      </c>
      <c r="F18" s="22">
        <f>'06 Custos_Iniciais'!C17</f>
        <v/>
      </c>
      <c r="H18" s="21" t="inlineStr">
        <is>
          <t>Ruim</t>
        </is>
      </c>
      <c r="I18" s="22">
        <f>'15 Financeiro_3_Meses'!N7</f>
        <v/>
      </c>
      <c r="K18" s="21" t="inlineStr">
        <is>
          <t>Suplementos e produtos médicos</t>
        </is>
      </c>
      <c r="L18" s="21" t="inlineStr">
        <is>
          <t>Risco regulatório, promessa sensível e bloqueios de anúncio</t>
        </is>
      </c>
    </row>
    <row r="19">
      <c r="A19" s="21" t="inlineStr">
        <is>
          <t>Pet utilitário</t>
        </is>
      </c>
      <c r="B19" s="21" t="n">
        <v>8.800000000000001</v>
      </c>
      <c r="C19" s="21" t="inlineStr">
        <is>
          <t>Sim</t>
        </is>
      </c>
      <c r="E19" s="21" t="inlineStr">
        <is>
          <t>Intermediário</t>
        </is>
      </c>
      <c r="F19" s="22">
        <f>'06 Custos_Iniciais'!D17</f>
        <v/>
      </c>
      <c r="H19" s="21" t="inlineStr">
        <is>
          <t>Médio</t>
        </is>
      </c>
      <c r="I19" s="22">
        <f>'15 Financeiro_3_Meses'!N10</f>
        <v/>
      </c>
      <c r="K19" s="21" t="inlineStr">
        <is>
          <t>Cosméticos com promessa forte</t>
        </is>
      </c>
      <c r="L19" s="21" t="inlineStr">
        <is>
          <t>Risco Anvisa, reembolso e publicidade enganosa</t>
        </is>
      </c>
    </row>
    <row r="20">
      <c r="A20" s="21" t="inlineStr">
        <is>
          <t>Cozinha prática</t>
        </is>
      </c>
      <c r="B20" s="21" t="n">
        <v>8.5</v>
      </c>
      <c r="C20" s="21" t="inlineStr">
        <is>
          <t>Sim</t>
        </is>
      </c>
      <c r="E20" s="21" t="inlineStr">
        <is>
          <t>Profissional</t>
        </is>
      </c>
      <c r="F20" s="22">
        <f>'06 Custos_Iniciais'!E17</f>
        <v/>
      </c>
      <c r="H20" s="21" t="inlineStr">
        <is>
          <t>Bom</t>
        </is>
      </c>
      <c r="I20" s="22">
        <f>'15 Financeiro_3_Meses'!N13</f>
        <v/>
      </c>
      <c r="K20" s="21" t="inlineStr">
        <is>
          <t>Eletrônicos complexos ou com bateria ruim</t>
        </is>
      </c>
      <c r="L20" s="21" t="inlineStr">
        <is>
          <t>Defeito, devolução e suporte difícil</t>
        </is>
      </c>
    </row>
    <row r="21">
      <c r="A21" s="21" t="inlineStr">
        <is>
          <t>Automotivo leve</t>
        </is>
      </c>
      <c r="B21" s="21" t="n">
        <v>8.300000000000001</v>
      </c>
      <c r="C21" s="21" t="inlineStr">
        <is>
          <t>Sim</t>
        </is>
      </c>
      <c r="K21" s="21" t="inlineStr">
        <is>
          <t>Moda com numeração</t>
        </is>
      </c>
      <c r="L21" s="21" t="inlineStr">
        <is>
          <t>Trocas frequentes e variação de tamanho</t>
        </is>
      </c>
    </row>
    <row r="22">
      <c r="A22" s="21" t="inlineStr">
        <is>
          <t>Fitness leve e bem-estar sem promessa médica</t>
        </is>
      </c>
      <c r="B22" s="21" t="n">
        <v>7.6</v>
      </c>
      <c r="C22" s="21" t="inlineStr">
        <is>
          <t>Parcial</t>
        </is>
      </c>
      <c r="K22" s="21" t="inlineStr">
        <is>
          <t>Produtos falsificados, réplicas e marcas sem autorização</t>
        </is>
      </c>
      <c r="L22" s="21" t="inlineStr">
        <is>
          <t>Risco legal e bloqueio de conta</t>
        </is>
      </c>
    </row>
    <row r="23">
      <c r="A23" s="21" t="inlineStr">
        <is>
          <t>Beleza não regulada</t>
        </is>
      </c>
      <c r="B23" s="21" t="n">
        <v>7.4</v>
      </c>
      <c r="C23" s="21" t="inlineStr">
        <is>
          <t>Parcial</t>
        </is>
      </c>
      <c r="K23" s="21" t="inlineStr">
        <is>
          <t>Produtos infantis com risco de segurança</t>
        </is>
      </c>
      <c r="L23" s="21" t="inlineStr">
        <is>
          <t>Alto risco operacional e reputacional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>
      <c r="A42" s="2" t="inlineStr">
        <is>
          <t>Observação: a planilha usa estimativas realistas e não promete lucro. Dados de plataformas, preços, integrações, regras e tributos devem ser validados em fontes oficiais.</t>
        </is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</row>
  </sheetData>
  <autoFilter ref="K17:L23"/>
  <mergeCells count="13">
    <mergeCell ref="A1:P1"/>
    <mergeCell ref="A5:C6"/>
    <mergeCell ref="D5:F6"/>
    <mergeCell ref="D4:F4"/>
    <mergeCell ref="G5:I6"/>
    <mergeCell ref="M4:O4"/>
    <mergeCell ref="M5:O6"/>
    <mergeCell ref="J5:L6"/>
    <mergeCell ref="G4:I4"/>
    <mergeCell ref="J4:L4"/>
    <mergeCell ref="A42:P43"/>
    <mergeCell ref="A4:C4"/>
    <mergeCell ref="A2:P2"/>
  </mergeCells>
  <pageMargins left="0.25" right="0.25" top="0.5" bottom="0.5" header="0.5" footer="0.5"/>
  <pageSetup orientation="landscape" fitToHeight="0" fitToWidth="1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B1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24" t="inlineStr">
        <is>
          <t>Tema</t>
        </is>
      </c>
      <c r="B1" s="24" t="inlineStr">
        <is>
          <t>Resumo prático</t>
        </is>
      </c>
    </row>
    <row r="2">
      <c r="A2" s="21" t="inlineStr">
        <is>
          <t>Como funciona</t>
        </is>
      </c>
      <c r="B2" s="21" t="inlineStr">
        <is>
          <t>O cliente compra na loja, você compra do fornecedor e o fornecedor envia diretamente ao cliente.</t>
        </is>
      </c>
    </row>
    <row r="3">
      <c r="A3" s="21" t="inlineStr">
        <is>
          <t>Etapas da venda</t>
        </is>
      </c>
      <c r="B3" s="21" t="inlineStr">
        <is>
          <t>Pesquisa, validação, loja, tráfego, pedido, compra no fornecedor, envio, rastreamento, atendimento e pós-venda.</t>
        </is>
      </c>
    </row>
    <row r="4">
      <c r="A4" s="21" t="inlineStr">
        <is>
          <t>Como o lucro é formado</t>
        </is>
      </c>
      <c r="B4" s="21" t="inlineStr">
        <is>
          <t>Lucro é preço de venda menos produto, frete, taxas, anúncios, impostos, reembolsos, ferramentas e suporte.</t>
        </is>
      </c>
    </row>
    <row r="5">
      <c r="A5" s="21" t="inlineStr">
        <is>
          <t>Principal cuidado</t>
        </is>
      </c>
      <c r="B5" s="21" t="inlineStr">
        <is>
          <t>Não anunciar produto sem validar amostra, prazo, margem e política de troca.</t>
        </is>
      </c>
    </row>
    <row r="6">
      <c r="A6" s="21" t="inlineStr">
        <is>
          <t>O que não fazer</t>
        </is>
      </c>
      <c r="B6" s="21" t="inlineStr">
        <is>
          <t>Não vender produto proibido, falsificado, perigoso, com promessa médica ou sem margem realista.</t>
        </is>
      </c>
    </row>
    <row r="7">
      <c r="A7" s="21" t="inlineStr">
        <is>
          <t>Expectativa realista</t>
        </is>
      </c>
      <c r="B7" s="21" t="inlineStr">
        <is>
          <t>Pode gerar lucro, mas exige teste, atendimento, controle financeiro e tolerância a erro controlado.</t>
        </is>
      </c>
    </row>
    <row r="8">
      <c r="A8" s="21" t="inlineStr">
        <is>
          <t>Risco inicial</t>
        </is>
      </c>
      <c r="B8" s="21" t="inlineStr">
        <is>
          <t>Atraso, fornecedor ruim, reembolso, chargeback e conta de anúncios bloqueada podem inviabilizar a operação.</t>
        </is>
      </c>
    </row>
    <row r="9">
      <c r="A9" s="21" t="inlineStr">
        <is>
          <t>Métrica de saúde</t>
        </is>
      </c>
      <c r="B9" s="21" t="inlineStr">
        <is>
          <t>Margem líquida positiva, reclamações baixas, entrega previsível e criativo com CPA aceitável.</t>
        </is>
      </c>
    </row>
    <row r="10">
      <c r="A10" s="21" t="inlineStr">
        <is>
          <t>Caminho seguro</t>
        </is>
      </c>
      <c r="B10" s="21" t="inlineStr">
        <is>
          <t>Começar pequeno, documentar tudo, medir cada etapa e reinvestir apenas parte do lucro.</t>
        </is>
      </c>
    </row>
  </sheetData>
  <autoFilter ref="A1:B10"/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7BECF"/>
    <outlinePr summaryBelow="1" summaryRight="1"/>
    <pageSetUpPr fitToPage="1"/>
  </sheetPr>
  <dimension ref="A1:E1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24" t="inlineStr">
        <is>
          <t>Etapa</t>
        </is>
      </c>
      <c r="B1" s="24" t="inlineStr">
        <is>
          <t>O que fazer</t>
        </is>
      </c>
      <c r="C1" s="24" t="inlineStr">
        <is>
          <t>Ferramenta sugerida</t>
        </is>
      </c>
      <c r="D1" s="24" t="inlineStr">
        <is>
          <t>Erro comum</t>
        </is>
      </c>
      <c r="E1" s="24" t="inlineStr">
        <is>
          <t>Como evitar</t>
        </is>
      </c>
    </row>
    <row r="2">
      <c r="A2" s="21" t="inlineStr">
        <is>
          <t>Pesquisa de nicho</t>
        </is>
      </c>
      <c r="B2" s="21" t="inlineStr">
        <is>
          <t>Mapear dores, intenção de compra e concorrência.</t>
        </is>
      </c>
      <c r="C2" s="21" t="inlineStr">
        <is>
          <t>Google Trends, TikTok, Instagram, Mercado Livre</t>
        </is>
      </c>
      <c r="D2" s="21" t="inlineStr">
        <is>
          <t>Escolher nicho só por gosto pessoal.</t>
        </is>
      </c>
      <c r="E2" s="21" t="inlineStr">
        <is>
          <t>Comparar demanda, margem e risco.</t>
        </is>
      </c>
    </row>
    <row r="3">
      <c r="A3" s="21" t="inlineStr">
        <is>
          <t>Escolha do produto</t>
        </is>
      </c>
      <c r="B3" s="21" t="inlineStr">
        <is>
          <t>Priorizar utilidade clara, ticket acessível e baixo risco de defeito.</t>
        </is>
      </c>
      <c r="C3" s="21" t="inlineStr">
        <is>
          <t>Dropi, DSers, DropNacional, marketplaces</t>
        </is>
      </c>
      <c r="D3" s="21" t="inlineStr">
        <is>
          <t>Comprar produto apenas porque viralizou.</t>
        </is>
      </c>
      <c r="E3" s="21" t="inlineStr">
        <is>
          <t>Avaliar qualidade, prazo, avaliações e margem.</t>
        </is>
      </c>
    </row>
    <row r="4">
      <c r="A4" s="21" t="inlineStr">
        <is>
          <t>Validação</t>
        </is>
      </c>
      <c r="B4" s="21" t="inlineStr">
        <is>
          <t>Confirmar amostra, criativo, fornecedor, prazo e preço.</t>
        </is>
      </c>
      <c r="C4" s="21" t="inlineStr">
        <is>
          <t>Planilha, pedido teste, vídeos orgânicos</t>
        </is>
      </c>
      <c r="D4" s="21" t="inlineStr">
        <is>
          <t>Anunciar sem testar.</t>
        </is>
      </c>
      <c r="E4" s="21" t="inlineStr">
        <is>
          <t>Comprar amostra e medir resposta orgânica.</t>
        </is>
      </c>
    </row>
    <row r="5">
      <c r="A5" s="21" t="inlineStr">
        <is>
          <t>Fornecedor</t>
        </is>
      </c>
      <c r="B5" s="21" t="inlineStr">
        <is>
          <t>Verificar reputação, estoque, rastreio e política de troca.</t>
        </is>
      </c>
      <c r="C5" s="21" t="inlineStr">
        <is>
          <t>Dropi, DropNacional, fornecedor direto</t>
        </is>
      </c>
      <c r="D5" s="21" t="inlineStr">
        <is>
          <t>Depender de fornecedor sem contato.</t>
        </is>
      </c>
      <c r="E5" s="21" t="inlineStr">
        <is>
          <t>Ter fornecedor alternativo e SLA mínimo.</t>
        </is>
      </c>
    </row>
    <row r="6">
      <c r="A6" s="21" t="inlineStr">
        <is>
          <t>Criação da loja</t>
        </is>
      </c>
      <c r="B6" s="21" t="inlineStr">
        <is>
          <t>Montar páginas claras, políticas, checkout simples e prova social honesta.</t>
        </is>
      </c>
      <c r="C6" s="21" t="inlineStr">
        <is>
          <t>Nuvemshop, Shopify, Yampi, WooCommerce</t>
        </is>
      </c>
      <c r="D6" s="21" t="inlineStr">
        <is>
          <t>Loja com aparência improvisada.</t>
        </is>
      </c>
      <c r="E6" s="21" t="inlineStr">
        <is>
          <t>Usar layout limpo, imagens reais e texto objetivo.</t>
        </is>
      </c>
    </row>
    <row r="7">
      <c r="A7" s="21" t="inlineStr">
        <is>
          <t>Anúncio</t>
        </is>
      </c>
      <c r="B7" s="21" t="inlineStr">
        <is>
          <t>Testar criativos com orçamento pequeno e metas claras.</t>
        </is>
      </c>
      <c r="C7" s="21" t="inlineStr">
        <is>
          <t>Meta Ads, TikTok Ads</t>
        </is>
      </c>
      <c r="D7" s="21" t="inlineStr">
        <is>
          <t>Escalar sem dados.</t>
        </is>
      </c>
      <c r="E7" s="21" t="inlineStr">
        <is>
          <t>Definir CPA máximo e regra de pausa.</t>
        </is>
      </c>
    </row>
    <row r="8">
      <c r="A8" s="21" t="inlineStr">
        <is>
          <t>Venda</t>
        </is>
      </c>
      <c r="B8" s="21" t="inlineStr">
        <is>
          <t>Receber pedido com prazo e comunicação transparentes.</t>
        </is>
      </c>
      <c r="C8" s="21" t="inlineStr">
        <is>
          <t>Loja, gateway, WhatsApp Business</t>
        </is>
      </c>
      <c r="D8" s="21" t="inlineStr">
        <is>
          <t>Prometer prazo irreal.</t>
        </is>
      </c>
      <c r="E8" s="21" t="inlineStr">
        <is>
          <t>Informar prazo conservador e rastreio.</t>
        </is>
      </c>
    </row>
    <row r="9">
      <c r="A9" s="21" t="inlineStr">
        <is>
          <t>Compra no fornecedor</t>
        </is>
      </c>
      <c r="B9" s="21" t="inlineStr">
        <is>
          <t>Comprar corretamente após a venda e registrar evidências.</t>
        </is>
      </c>
      <c r="C9" s="21" t="inlineStr">
        <is>
          <t>Fornecedor, planilha, automação</t>
        </is>
      </c>
      <c r="D9" s="21" t="inlineStr">
        <is>
          <t>Comprar item errado ou sem rastreio.</t>
        </is>
      </c>
      <c r="E9" s="21" t="inlineStr">
        <is>
          <t>Padronizar SKU e checklist de pedido.</t>
        </is>
      </c>
    </row>
    <row r="10">
      <c r="A10" s="21" t="inlineStr">
        <is>
          <t>Envio</t>
        </is>
      </c>
      <c r="B10" s="21" t="inlineStr">
        <is>
          <t>Acompanhar despacho, rastreio e exceções.</t>
        </is>
      </c>
      <c r="C10" s="21" t="inlineStr">
        <is>
          <t>Melhor Envio, rastreio do fornecedor</t>
        </is>
      </c>
      <c r="D10" s="21" t="inlineStr">
        <is>
          <t>Não monitorar pedido.</t>
        </is>
      </c>
      <c r="E10" s="21" t="inlineStr">
        <is>
          <t>Rotina diária de rastreio.</t>
        </is>
      </c>
    </row>
    <row r="11">
      <c r="A11" s="21" t="inlineStr">
        <is>
          <t>Rastreamento</t>
        </is>
      </c>
      <c r="B11" s="21" t="inlineStr">
        <is>
          <t>Avisar cliente sobre status e atraso antes da reclamação.</t>
        </is>
      </c>
      <c r="C11" s="21" t="inlineStr">
        <is>
          <t>E-mail, WhatsApp, página de rastreio</t>
        </is>
      </c>
      <c r="D11" s="21" t="inlineStr">
        <is>
          <t>Cliente sem informação.</t>
        </is>
      </c>
      <c r="E11" s="21" t="inlineStr">
        <is>
          <t>Enviar atualizações claras.</t>
        </is>
      </c>
    </row>
    <row r="12">
      <c r="A12" s="21" t="inlineStr">
        <is>
          <t>Atendimento</t>
        </is>
      </c>
      <c r="B12" s="21" t="inlineStr">
        <is>
          <t>Responder rápido, com registro e linguagem profissional.</t>
        </is>
      </c>
      <c r="C12" s="21" t="inlineStr">
        <is>
          <t>WhatsApp Business, e-mail, helpdesk</t>
        </is>
      </c>
      <c r="D12" s="21" t="inlineStr">
        <is>
          <t>Responder tarde ou de forma genérica.</t>
        </is>
      </c>
      <c r="E12" s="21" t="inlineStr">
        <is>
          <t>Criar respostas rápidas e SLA de 24h.</t>
        </is>
      </c>
    </row>
    <row r="13">
      <c r="A13" s="21" t="inlineStr">
        <is>
          <t>Troca/devolução</t>
        </is>
      </c>
      <c r="B13" s="21" t="inlineStr">
        <is>
          <t>Aplicar política clara e compatível com as regras brasileiras.</t>
        </is>
      </c>
      <c r="C13" s="21" t="inlineStr">
        <is>
          <t>Política da loja, contador/fonte oficial</t>
        </is>
      </c>
      <c r="D13" s="21" t="inlineStr">
        <is>
          <t>Improvisar regra depois do problema.</t>
        </is>
      </c>
      <c r="E13" s="21" t="inlineStr">
        <is>
          <t>Publicar política antes de vender.</t>
        </is>
      </c>
    </row>
    <row r="14">
      <c r="A14" s="21" t="inlineStr">
        <is>
          <t>Reinvestimento</t>
        </is>
      </c>
      <c r="B14" s="21" t="inlineStr">
        <is>
          <t>Separar reserva, impostos, reembolso e verba de teste.</t>
        </is>
      </c>
      <c r="C14" s="21" t="inlineStr">
        <is>
          <t>Planilha financeira</t>
        </is>
      </c>
      <c r="D14" s="21" t="inlineStr">
        <is>
          <t>Gastar todo o lucro aparente.</t>
        </is>
      </c>
      <c r="E14" s="21" t="inlineStr">
        <is>
          <t>Definir percentual de reinvestimento e reserva.</t>
        </is>
      </c>
    </row>
  </sheetData>
  <autoFilter ref="A1:E14"/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674EA7"/>
    <outlinePr summaryBelow="1" summaryRight="1"/>
    <pageSetUpPr fitToPage="1"/>
  </sheetPr>
  <dimension ref="A1:L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20" customWidth="1" min="4" max="4"/>
    <col width="14" customWidth="1" min="5" max="5"/>
    <col width="23" customWidth="1" min="6" max="6"/>
    <col width="24" customWidth="1" min="7" max="7"/>
    <col width="19" customWidth="1" min="8" max="8"/>
    <col width="42" customWidth="1" min="9" max="9"/>
    <col width="42" customWidth="1" min="10" max="10"/>
    <col width="28" customWidth="1" min="11" max="11"/>
    <col width="42" customWidth="1" min="12" max="12"/>
  </cols>
  <sheetData>
    <row r="1">
      <c r="A1" s="24" t="inlineStr">
        <is>
          <t>Ranking</t>
        </is>
      </c>
      <c r="B1" s="24" t="inlineStr">
        <is>
          <t>Nicho</t>
        </is>
      </c>
      <c r="C1" s="24" t="inlineStr">
        <is>
          <t>Nota de 0 a 10</t>
        </is>
      </c>
      <c r="D1" s="24" t="inlineStr">
        <is>
          <t>Potencial de venda</t>
        </is>
      </c>
      <c r="E1" s="24" t="inlineStr">
        <is>
          <t>Concorrência</t>
        </is>
      </c>
      <c r="F1" s="24" t="inlineStr">
        <is>
          <t>Ticket médio estimado</t>
        </is>
      </c>
      <c r="G1" s="24" t="inlineStr">
        <is>
          <t>Facilidade de anunciar</t>
        </is>
      </c>
      <c r="H1" s="24" t="inlineStr">
        <is>
          <t>Risco operacional</t>
        </is>
      </c>
      <c r="I1" s="24" t="inlineStr">
        <is>
          <t>Produtos indicados</t>
        </is>
      </c>
      <c r="J1" s="24" t="inlineStr">
        <is>
          <t>Perfil do cliente</t>
        </is>
      </c>
      <c r="K1" s="24" t="inlineStr">
        <is>
          <t>Recomendado para iniciante</t>
        </is>
      </c>
      <c r="L1" s="24" t="inlineStr">
        <is>
          <t>Justificativa</t>
        </is>
      </c>
    </row>
    <row r="2">
      <c r="A2" s="21" t="n">
        <v>1</v>
      </c>
      <c r="B2" s="21" t="inlineStr">
        <is>
          <t>Casa, organização e utilidades práticas</t>
        </is>
      </c>
      <c r="C2" s="25" t="n">
        <v>9.699999999999999</v>
      </c>
      <c r="D2" s="21" t="inlineStr">
        <is>
          <t>Alto</t>
        </is>
      </c>
      <c r="E2" s="21" t="inlineStr">
        <is>
          <t>Média</t>
        </is>
      </c>
      <c r="F2" s="21" t="inlineStr">
        <is>
          <t>R$ 40 a R$ 120</t>
        </is>
      </c>
      <c r="G2" s="21" t="inlineStr">
        <is>
          <t>Alta</t>
        </is>
      </c>
      <c r="H2" s="21" t="inlineStr">
        <is>
          <t>Baixo</t>
        </is>
      </c>
      <c r="I2" s="21" t="inlineStr">
        <is>
          <t>Organizador de cabos, suporte adesivo, organizador de geladeira</t>
        </is>
      </c>
      <c r="J2" s="21" t="inlineStr">
        <is>
          <t>Pessoas que querem praticidade em casa, escritório ou pequenos espaços</t>
        </is>
      </c>
      <c r="K2" s="21" t="inlineStr">
        <is>
          <t>Sim</t>
        </is>
      </c>
      <c r="L2" s="21" t="inlineStr">
        <is>
          <t>Produtos simples, visuais, fáceis de demonstrar e com baixo risco técnico.</t>
        </is>
      </c>
    </row>
    <row r="3">
      <c r="A3" s="21" t="n">
        <v>2</v>
      </c>
      <c r="B3" s="21" t="inlineStr">
        <is>
          <t>Pet utilitário</t>
        </is>
      </c>
      <c r="C3" s="25" t="n">
        <v>8.800000000000001</v>
      </c>
      <c r="D3" s="21" t="inlineStr">
        <is>
          <t>Alto</t>
        </is>
      </c>
      <c r="E3" s="21" t="inlineStr">
        <is>
          <t>Média</t>
        </is>
      </c>
      <c r="F3" s="21" t="inlineStr">
        <is>
          <t>R$ 35 a R$ 100</t>
        </is>
      </c>
      <c r="G3" s="21" t="inlineStr">
        <is>
          <t>Alta</t>
        </is>
      </c>
      <c r="H3" s="21" t="inlineStr">
        <is>
          <t>Baixo</t>
        </is>
      </c>
      <c r="I3" s="21" t="inlineStr">
        <is>
          <t>Escova removedora de pelos, tapete higiênico, bebedouro portátil</t>
        </is>
      </c>
      <c r="J3" s="21" t="inlineStr">
        <is>
          <t>Tutores de pets que buscam higiene, passeio e organização</t>
        </is>
      </c>
      <c r="K3" s="21" t="inlineStr">
        <is>
          <t>Sim</t>
        </is>
      </c>
      <c r="L3" s="21" t="inlineStr">
        <is>
          <t>Boa resposta em vídeos curtos; evitar ração, remédios e promessas veterinárias.</t>
        </is>
      </c>
    </row>
    <row r="4">
      <c r="A4" s="21" t="n">
        <v>3</v>
      </c>
      <c r="B4" s="21" t="inlineStr">
        <is>
          <t>Cozinha prática</t>
        </is>
      </c>
      <c r="C4" s="25" t="n">
        <v>8.5</v>
      </c>
      <c r="D4" s="21" t="inlineStr">
        <is>
          <t>Médio/alto</t>
        </is>
      </c>
      <c r="E4" s="21" t="inlineStr">
        <is>
          <t>Média</t>
        </is>
      </c>
      <c r="F4" s="21" t="inlineStr">
        <is>
          <t>R$ 30 a R$ 90</t>
        </is>
      </c>
      <c r="G4" s="21" t="inlineStr">
        <is>
          <t>Alta</t>
        </is>
      </c>
      <c r="H4" s="21" t="inlineStr">
        <is>
          <t>Médio</t>
        </is>
      </c>
      <c r="I4" s="21" t="inlineStr">
        <is>
          <t>Cortador prático, porta-temperos, escorredor dobrável</t>
        </is>
      </c>
      <c r="J4" s="21" t="inlineStr">
        <is>
          <t>Famílias, pessoas que cozinham e pequenos apartamentos</t>
        </is>
      </c>
      <c r="K4" s="21" t="inlineStr">
        <is>
          <t>Sim</t>
        </is>
      </c>
      <c r="L4" s="21" t="inlineStr">
        <is>
          <t>Problemas cotidianos são claros; evitar itens frágeis ou elétricos complexos.</t>
        </is>
      </c>
    </row>
    <row r="5">
      <c r="A5" s="21" t="n">
        <v>4</v>
      </c>
      <c r="B5" s="21" t="inlineStr">
        <is>
          <t>Automotivo leve</t>
        </is>
      </c>
      <c r="C5" s="25" t="n">
        <v>8.300000000000001</v>
      </c>
      <c r="D5" s="21" t="inlineStr">
        <is>
          <t>Médio/alto</t>
        </is>
      </c>
      <c r="E5" s="21" t="inlineStr">
        <is>
          <t>Média</t>
        </is>
      </c>
      <c r="F5" s="21" t="inlineStr">
        <is>
          <t>R$ 35 a R$ 110</t>
        </is>
      </c>
      <c r="G5" s="21" t="inlineStr">
        <is>
          <t>Média/alta</t>
        </is>
      </c>
      <c r="H5" s="21" t="inlineStr">
        <is>
          <t>Médio</t>
        </is>
      </c>
      <c r="I5" s="21" t="inlineStr">
        <is>
          <t>Suporte veicular, lixeira dobrável, organizador de banco</t>
        </is>
      </c>
      <c r="J5" s="21" t="inlineStr">
        <is>
          <t>Motoristas, motoristas de aplicativo e famílias</t>
        </is>
      </c>
      <c r="K5" s="21" t="inlineStr">
        <is>
          <t>Sim</t>
        </is>
      </c>
      <c r="L5" s="21" t="inlineStr">
        <is>
          <t>Funciona bem com antes/depois; evitar peças mecânicas e instalação técnica.</t>
        </is>
      </c>
    </row>
    <row r="6">
      <c r="A6" s="21" t="n">
        <v>5</v>
      </c>
      <c r="B6" s="21" t="inlineStr">
        <is>
          <t>Fitness leve e bem-estar sem promessa médica</t>
        </is>
      </c>
      <c r="C6" s="25" t="n">
        <v>7.6</v>
      </c>
      <c r="D6" s="21" t="inlineStr">
        <is>
          <t>Médio</t>
        </is>
      </c>
      <c r="E6" s="21" t="inlineStr">
        <is>
          <t>Alta</t>
        </is>
      </c>
      <c r="F6" s="21" t="inlineStr">
        <is>
          <t>R$ 30 a R$ 90</t>
        </is>
      </c>
      <c r="G6" s="21" t="inlineStr">
        <is>
          <t>Média</t>
        </is>
      </c>
      <c r="H6" s="21" t="inlineStr">
        <is>
          <t>Médio</t>
        </is>
      </c>
      <c r="I6" s="21" t="inlineStr">
        <is>
          <t>Garrafas, bolsas, elásticos e organizadores de treino</t>
        </is>
      </c>
      <c r="J6" s="21" t="inlineStr">
        <is>
          <t>Pessoas que treinam em casa ou buscam rotina mais organizada</t>
        </is>
      </c>
      <c r="K6" s="21" t="inlineStr">
        <is>
          <t>Parcial</t>
        </is>
      </c>
      <c r="L6" s="21" t="inlineStr">
        <is>
          <t>Pode vender, mas exige cuidado para não prometer saúde, cura ou emagrecimento.</t>
        </is>
      </c>
    </row>
    <row r="7">
      <c r="A7" s="21" t="n">
        <v>6</v>
      </c>
      <c r="B7" s="21" t="inlineStr">
        <is>
          <t>Beleza não regulada</t>
        </is>
      </c>
      <c r="C7" s="25" t="n">
        <v>7.4</v>
      </c>
      <c r="D7" s="21" t="inlineStr">
        <is>
          <t>Médio</t>
        </is>
      </c>
      <c r="E7" s="21" t="inlineStr">
        <is>
          <t>Alta</t>
        </is>
      </c>
      <c r="F7" s="21" t="inlineStr">
        <is>
          <t>R$ 25 a R$ 90</t>
        </is>
      </c>
      <c r="G7" s="21" t="inlineStr">
        <is>
          <t>Média</t>
        </is>
      </c>
      <c r="H7" s="21" t="inlineStr">
        <is>
          <t>Médio</t>
        </is>
      </c>
      <c r="I7" s="21" t="inlineStr">
        <is>
          <t>Organizador de maquiagem, nécessaire, espelho compacto</t>
        </is>
      </c>
      <c r="J7" s="21" t="inlineStr">
        <is>
          <t>Pessoas interessadas em organização, rotina e estética sem cosméticos</t>
        </is>
      </c>
      <c r="K7" s="21" t="inlineStr">
        <is>
          <t>Parcial</t>
        </is>
      </c>
      <c r="L7" s="21" t="inlineStr">
        <is>
          <t>Evitar cosméticos, dermocosméticos, clareadores e promessas reguladas pela Anvisa.</t>
        </is>
      </c>
    </row>
  </sheetData>
  <autoFilter ref="A1:L7"/>
  <dataValidations count="1">
    <dataValidation sqref="K2:K7" showDropDown="0" showInputMessage="0" showErrorMessage="0" allowBlank="1" errorTitle="Valor inválido" error="Escolha uma opção da lista." type="list">
      <formula1>"Sim,Não,Parcial"</formula1>
    </dataValidation>
  </dataValidations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FF7F0E"/>
    <outlinePr summaryBelow="1" summaryRight="1"/>
    <pageSetUpPr fitToPage="1"/>
  </sheetPr>
  <dimension ref="A1:N2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16" customWidth="1" min="5" max="5"/>
    <col width="16" customWidth="1" min="6" max="6"/>
    <col width="25" customWidth="1" min="7" max="7"/>
    <col width="17" customWidth="1" min="8" max="8"/>
    <col width="22" customWidth="1" min="9" max="9"/>
    <col width="40" customWidth="1" min="10" max="10"/>
    <col width="10" customWidth="1" min="11" max="11"/>
    <col width="28" customWidth="1" min="12" max="12"/>
    <col width="42" customWidth="1" min="13" max="13"/>
    <col width="42" customWidth="1" min="14" max="14"/>
  </cols>
  <sheetData>
    <row r="1">
      <c r="A1" s="24" t="inlineStr">
        <is>
          <t>Nicho</t>
        </is>
      </c>
      <c r="B1" s="24" t="inlineStr">
        <is>
          <t>Produto</t>
        </is>
      </c>
      <c r="C1" s="24" t="inlineStr">
        <is>
          <t>Problema que resolve</t>
        </is>
      </c>
      <c r="D1" s="24" t="inlineStr">
        <is>
          <t>Público-alvo</t>
        </is>
      </c>
      <c r="E1" s="24" t="inlineStr">
        <is>
          <t>Custo estimado</t>
        </is>
      </c>
      <c r="F1" s="24" t="inlineStr">
        <is>
          <t>Frete estimado</t>
        </is>
      </c>
      <c r="G1" s="24" t="inlineStr">
        <is>
          <t>Preço de venda sugerido</t>
        </is>
      </c>
      <c r="H1" s="24" t="inlineStr">
        <is>
          <t>Taxas estimadas</t>
        </is>
      </c>
      <c r="I1" s="24" t="inlineStr">
        <is>
          <t>CPA máximo aceitável</t>
        </is>
      </c>
      <c r="J1" s="24" t="inlineStr">
        <is>
          <t>Margem estimada</t>
        </is>
      </c>
      <c r="K1" s="24" t="inlineStr">
        <is>
          <t>Risco</t>
        </is>
      </c>
      <c r="L1" s="24" t="inlineStr">
        <is>
          <t>Fornecedor sugerido</t>
        </is>
      </c>
      <c r="M1" s="24" t="inlineStr">
        <is>
          <t>Tipo de criativo ideal</t>
        </is>
      </c>
      <c r="N1" s="24" t="inlineStr">
        <is>
          <t>Observações</t>
        </is>
      </c>
    </row>
    <row r="2">
      <c r="A2" s="21" t="inlineStr">
        <is>
          <t>Casa, organização e utilidades práticas</t>
        </is>
      </c>
      <c r="B2" s="21" t="inlineStr">
        <is>
          <t>Organizador de cabos</t>
        </is>
      </c>
      <c r="C2" s="21" t="inlineStr">
        <is>
          <t>Reduz bagunça e risco de fios soltos.</t>
        </is>
      </c>
      <c r="D2" s="21" t="inlineStr">
        <is>
          <t>Residências, home office e escritórios</t>
        </is>
      </c>
      <c r="E2" s="22" t="n">
        <v>14.9</v>
      </c>
      <c r="F2" s="22" t="n">
        <v>8.9</v>
      </c>
      <c r="G2" s="22" t="n">
        <v>49.9</v>
      </c>
      <c r="H2" s="22" t="n">
        <v>8</v>
      </c>
      <c r="I2" s="22" t="n">
        <v>7.5</v>
      </c>
      <c r="J2" s="26">
        <f>IF(G2=0,0,(G2-E2-F2-H2-I2)/G2)</f>
        <v/>
      </c>
      <c r="K2" s="21" t="inlineStr">
        <is>
          <t>Baixo</t>
        </is>
      </c>
      <c r="L2" s="21" t="inlineStr">
        <is>
          <t>Dropi</t>
        </is>
      </c>
      <c r="M2" s="21" t="inlineStr">
        <is>
          <t>Vídeo de instalação em menos de 10 segundos</t>
        </is>
      </c>
      <c r="N2" s="21" t="inlineStr">
        <is>
          <t>Produto simples, visual e fácil de explicar.</t>
        </is>
      </c>
    </row>
    <row r="3">
      <c r="A3" s="21" t="inlineStr">
        <is>
          <t>Casa, organização e utilidades práticas</t>
        </is>
      </c>
      <c r="B3" s="21" t="inlineStr">
        <is>
          <t>Suporte adesivo para tomada</t>
        </is>
      </c>
      <c r="C3" s="21" t="inlineStr">
        <is>
          <t>Organiza tomadas, carregadores e pequenos aparelhos.</t>
        </is>
      </c>
      <c r="D3" s="21" t="inlineStr">
        <is>
          <t>Famílias e pessoas com pouco espaço</t>
        </is>
      </c>
      <c r="E3" s="22" t="n">
        <v>11.5</v>
      </c>
      <c r="F3" s="22" t="n">
        <v>8.5</v>
      </c>
      <c r="G3" s="22" t="n">
        <v>39.9</v>
      </c>
      <c r="H3" s="22" t="n">
        <v>7</v>
      </c>
      <c r="I3" s="22" t="n">
        <v>6.5</v>
      </c>
      <c r="J3" s="26">
        <f>IF(G3=0,0,(G3-E3-F3-H3-I3)/G3)</f>
        <v/>
      </c>
      <c r="K3" s="21" t="inlineStr">
        <is>
          <t>Baixo</t>
        </is>
      </c>
      <c r="L3" s="21" t="inlineStr">
        <is>
          <t>AliExpress + DSers</t>
        </is>
      </c>
      <c r="M3" s="21" t="inlineStr">
        <is>
          <t>Antes e depois na cozinha ou escritório</t>
        </is>
      </c>
      <c r="N3" s="21" t="inlineStr">
        <is>
          <t>Validar cola e acabamento com amostra.</t>
        </is>
      </c>
    </row>
    <row r="4">
      <c r="A4" s="21" t="inlineStr">
        <is>
          <t>Pet utilitário</t>
        </is>
      </c>
      <c r="B4" s="21" t="inlineStr">
        <is>
          <t>Escova removedora de pelos pet</t>
        </is>
      </c>
      <c r="C4" s="21" t="inlineStr">
        <is>
          <t>Remove pelos de sofá, roupa e tapete.</t>
        </is>
      </c>
      <c r="D4" s="21" t="inlineStr">
        <is>
          <t>Tutores de cães e gatos</t>
        </is>
      </c>
      <c r="E4" s="22" t="n">
        <v>18.5</v>
      </c>
      <c r="F4" s="22" t="n">
        <v>9.5</v>
      </c>
      <c r="G4" s="22" t="n">
        <v>59.9</v>
      </c>
      <c r="H4" s="22" t="n">
        <v>8.5</v>
      </c>
      <c r="I4" s="22" t="n">
        <v>8</v>
      </c>
      <c r="J4" s="26">
        <f>IF(G4=0,0,(G4-E4-F4-H4-I4)/G4)</f>
        <v/>
      </c>
      <c r="K4" s="21" t="inlineStr">
        <is>
          <t>Baixo</t>
        </is>
      </c>
      <c r="L4" s="21" t="inlineStr">
        <is>
          <t>Dropi</t>
        </is>
      </c>
      <c r="M4" s="21" t="inlineStr">
        <is>
          <t>Demonstração real em tecido escuro</t>
        </is>
      </c>
      <c r="N4" s="21" t="inlineStr">
        <is>
          <t>Apelo visual forte; não fazer promessa veterinária.</t>
        </is>
      </c>
    </row>
    <row r="5">
      <c r="A5" s="21" t="inlineStr">
        <is>
          <t>Pet utilitário</t>
        </is>
      </c>
      <c r="B5" s="21" t="inlineStr">
        <is>
          <t>Luva removedora de pelos</t>
        </is>
      </c>
      <c r="C5" s="21" t="inlineStr">
        <is>
          <t>Ajuda a tirar pelos soltos durante carinho e escovação.</t>
        </is>
      </c>
      <c r="D5" s="21" t="inlineStr">
        <is>
          <t>Tutores de pets que soltam pelo</t>
        </is>
      </c>
      <c r="E5" s="22" t="n">
        <v>13.9</v>
      </c>
      <c r="F5" s="22" t="n">
        <v>8.9</v>
      </c>
      <c r="G5" s="22" t="n">
        <v>49.9</v>
      </c>
      <c r="H5" s="22" t="n">
        <v>7.5</v>
      </c>
      <c r="I5" s="22" t="n">
        <v>7</v>
      </c>
      <c r="J5" s="26">
        <f>IF(G5=0,0,(G5-E5-F5-H5-I5)/G5)</f>
        <v/>
      </c>
      <c r="K5" s="21" t="inlineStr">
        <is>
          <t>Baixo</t>
        </is>
      </c>
      <c r="L5" s="21" t="inlineStr">
        <is>
          <t>AliExpress + DSers</t>
        </is>
      </c>
      <c r="M5" s="21" t="inlineStr">
        <is>
          <t>Uso real com pet calmo</t>
        </is>
      </c>
      <c r="N5" s="21" t="inlineStr">
        <is>
          <t>Evitar linguagem de tratamento veterinário.</t>
        </is>
      </c>
    </row>
    <row r="6">
      <c r="A6" s="21" t="inlineStr">
        <is>
          <t>Casa, organização e utilidades práticas</t>
        </is>
      </c>
      <c r="B6" s="21" t="inlineStr">
        <is>
          <t>Organizador de geladeira</t>
        </is>
      </c>
      <c r="C6" s="21" t="inlineStr">
        <is>
          <t>Melhora visualização dos alimentos e reduz desperdício.</t>
        </is>
      </c>
      <c r="D6" s="21" t="inlineStr">
        <is>
          <t>Famílias e pessoas que preparam refeições</t>
        </is>
      </c>
      <c r="E6" s="22" t="n">
        <v>21.5</v>
      </c>
      <c r="F6" s="22" t="n">
        <v>9.5</v>
      </c>
      <c r="G6" s="22" t="n">
        <v>69.90000000000001</v>
      </c>
      <c r="H6" s="22" t="n">
        <v>9.5</v>
      </c>
      <c r="I6" s="22" t="n">
        <v>9</v>
      </c>
      <c r="J6" s="26">
        <f>IF(G6=0,0,(G6-E6-F6-H6-I6)/G6)</f>
        <v/>
      </c>
      <c r="K6" s="21" t="inlineStr">
        <is>
          <t>Médio</t>
        </is>
      </c>
      <c r="L6" s="21" t="inlineStr">
        <is>
          <t>DropNacional</t>
        </is>
      </c>
      <c r="M6" s="21" t="inlineStr">
        <is>
          <t>Transformação visual da geladeira</t>
        </is>
      </c>
      <c r="N6" s="21" t="inlineStr">
        <is>
          <t>Checar dimensão, material e embalagem.</t>
        </is>
      </c>
    </row>
    <row r="7">
      <c r="A7" s="21" t="inlineStr">
        <is>
          <t>Cozinha prática</t>
        </is>
      </c>
      <c r="B7" s="21" t="inlineStr">
        <is>
          <t>Cortador/descascador prático</t>
        </is>
      </c>
      <c r="C7" s="21" t="inlineStr">
        <is>
          <t>Economiza tempo no preparo de alimentos.</t>
        </is>
      </c>
      <c r="D7" s="21" t="inlineStr">
        <is>
          <t>Quem cozinha em casa</t>
        </is>
      </c>
      <c r="E7" s="22" t="n">
        <v>16.8</v>
      </c>
      <c r="F7" s="22" t="n">
        <v>9.199999999999999</v>
      </c>
      <c r="G7" s="22" t="n">
        <v>54.9</v>
      </c>
      <c r="H7" s="22" t="n">
        <v>8.5</v>
      </c>
      <c r="I7" s="22" t="n">
        <v>8</v>
      </c>
      <c r="J7" s="26">
        <f>IF(G7=0,0,(G7-E7-F7-H7-I7)/G7)</f>
        <v/>
      </c>
      <c r="K7" s="21" t="inlineStr">
        <is>
          <t>Baixo</t>
        </is>
      </c>
      <c r="L7" s="21" t="inlineStr">
        <is>
          <t>Dropi</t>
        </is>
      </c>
      <c r="M7" s="21" t="inlineStr">
        <is>
          <t>Uso real com alimento comum</t>
        </is>
      </c>
      <c r="N7" s="21" t="inlineStr">
        <is>
          <t>Evitar prometer desempenho exagerado.</t>
        </is>
      </c>
    </row>
    <row r="8">
      <c r="A8" s="21" t="inlineStr">
        <is>
          <t>Automotivo leve</t>
        </is>
      </c>
      <c r="B8" s="21" t="inlineStr">
        <is>
          <t>Suporte veicular para celular</t>
        </is>
      </c>
      <c r="C8" s="21" t="inlineStr">
        <is>
          <t>Facilita visualização do celular com mais organização.</t>
        </is>
      </c>
      <c r="D8" s="21" t="inlineStr">
        <is>
          <t>Motoristas e motoristas de aplicativo</t>
        </is>
      </c>
      <c r="E8" s="22" t="n">
        <v>17.4</v>
      </c>
      <c r="F8" s="22" t="n">
        <v>10</v>
      </c>
      <c r="G8" s="22" t="n">
        <v>59.9</v>
      </c>
      <c r="H8" s="22" t="n">
        <v>8.5</v>
      </c>
      <c r="I8" s="22" t="n">
        <v>8.5</v>
      </c>
      <c r="J8" s="26">
        <f>IF(G8=0,0,(G8-E8-F8-H8-I8)/G8)</f>
        <v/>
      </c>
      <c r="K8" s="21" t="inlineStr">
        <is>
          <t>Baixo</t>
        </is>
      </c>
      <c r="L8" s="21" t="inlineStr">
        <is>
          <t>AliExpress + DSers</t>
        </is>
      </c>
      <c r="M8" s="21" t="inlineStr">
        <is>
          <t>Instalação no painel com tomada curta</t>
        </is>
      </c>
      <c r="N8" s="21" t="inlineStr">
        <is>
          <t>Checar compatibilidade e fixação.</t>
        </is>
      </c>
    </row>
    <row r="9">
      <c r="A9" s="21" t="inlineStr">
        <is>
          <t>Automotivo leve</t>
        </is>
      </c>
      <c r="B9" s="21" t="inlineStr">
        <is>
          <t>Lixeira dobrável para carro</t>
        </is>
      </c>
      <c r="C9" s="21" t="inlineStr">
        <is>
          <t>Mantém o carro limpo e ocupa pouco espaço.</t>
        </is>
      </c>
      <c r="D9" s="21" t="inlineStr">
        <is>
          <t>Motoristas, famílias e viagens</t>
        </is>
      </c>
      <c r="E9" s="22" t="n">
        <v>19.2</v>
      </c>
      <c r="F9" s="22" t="n">
        <v>9.800000000000001</v>
      </c>
      <c r="G9" s="22" t="n">
        <v>64.90000000000001</v>
      </c>
      <c r="H9" s="22" t="n">
        <v>8.5</v>
      </c>
      <c r="I9" s="22" t="n">
        <v>8.5</v>
      </c>
      <c r="J9" s="26">
        <f>IF(G9=0,0,(G9-E9-F9-H9-I9)/G9)</f>
        <v/>
      </c>
      <c r="K9" s="21" t="inlineStr">
        <is>
          <t>Baixo</t>
        </is>
      </c>
      <c r="L9" s="21" t="inlineStr">
        <is>
          <t>Dropi</t>
        </is>
      </c>
      <c r="M9" s="21" t="inlineStr">
        <is>
          <t>Antes/depois do interior do carro</t>
        </is>
      </c>
      <c r="N9" s="21" t="inlineStr">
        <is>
          <t>Boa demonstração para Reels.</t>
        </is>
      </c>
    </row>
    <row r="10">
      <c r="A10" s="21" t="inlineStr">
        <is>
          <t>Automotivo leve</t>
        </is>
      </c>
      <c r="B10" s="21" t="inlineStr">
        <is>
          <t>Organizador de banco de carro</t>
        </is>
      </c>
      <c r="C10" s="21" t="inlineStr">
        <is>
          <t>Evita objetos soltos no banco traseiro.</t>
        </is>
      </c>
      <c r="D10" s="21" t="inlineStr">
        <is>
          <t>Famílias, motoristas e pessoas que viajam</t>
        </is>
      </c>
      <c r="E10" s="22" t="n">
        <v>22.3</v>
      </c>
      <c r="F10" s="22" t="n">
        <v>10.5</v>
      </c>
      <c r="G10" s="22" t="n">
        <v>69.90000000000001</v>
      </c>
      <c r="H10" s="22" t="n">
        <v>9</v>
      </c>
      <c r="I10" s="22" t="n">
        <v>9</v>
      </c>
      <c r="J10" s="26">
        <f>IF(G10=0,0,(G10-E10-F10-H10-I10)/G10)</f>
        <v/>
      </c>
      <c r="K10" s="21" t="inlineStr">
        <is>
          <t>Médio</t>
        </is>
      </c>
      <c r="L10" s="21" t="inlineStr">
        <is>
          <t>AliExpress + DSers</t>
        </is>
      </c>
      <c r="M10" s="21" t="inlineStr">
        <is>
          <t>Demonstração em carro real</t>
        </is>
      </c>
      <c r="N10" s="21" t="inlineStr">
        <is>
          <t>Validar costura e tamanho.</t>
        </is>
      </c>
    </row>
    <row r="11">
      <c r="A11" s="21" t="inlineStr">
        <is>
          <t>Pet utilitário</t>
        </is>
      </c>
      <c r="B11" s="21" t="inlineStr">
        <is>
          <t>Tapete higiênico lavável para pet</t>
        </is>
      </c>
      <c r="C11" s="21" t="inlineStr">
        <is>
          <t>Ajuda na rotina de higiene e reduz descartáveis.</t>
        </is>
      </c>
      <c r="D11" s="21" t="inlineStr">
        <is>
          <t>Tutores de cães em apartamento</t>
        </is>
      </c>
      <c r="E11" s="22" t="n">
        <v>29.5</v>
      </c>
      <c r="F11" s="22" t="n">
        <v>12</v>
      </c>
      <c r="G11" s="22" t="n">
        <v>89.90000000000001</v>
      </c>
      <c r="H11" s="22" t="n">
        <v>10</v>
      </c>
      <c r="I11" s="22" t="n">
        <v>10</v>
      </c>
      <c r="J11" s="26">
        <f>IF(G11=0,0,(G11-E11-F11-H11-I11)/G11)</f>
        <v/>
      </c>
      <c r="K11" s="21" t="inlineStr">
        <is>
          <t>Médio</t>
        </is>
      </c>
      <c r="L11" s="21" t="inlineStr">
        <is>
          <t>DropNacional</t>
        </is>
      </c>
      <c r="M11" s="21" t="inlineStr">
        <is>
          <t>Rotina de limpeza sem promessa veterinária</t>
        </is>
      </c>
      <c r="N11" s="21" t="inlineStr">
        <is>
          <t>Amostra é essencial para validar absorção.</t>
        </is>
      </c>
    </row>
    <row r="12">
      <c r="A12" s="21" t="inlineStr">
        <is>
          <t>Pet utilitário</t>
        </is>
      </c>
      <c r="B12" s="21" t="inlineStr">
        <is>
          <t>Bebedouro portátil para pet</t>
        </is>
      </c>
      <c r="C12" s="21" t="inlineStr">
        <is>
          <t>Facilita hidratação em passeios e viagens.</t>
        </is>
      </c>
      <c r="D12" s="21" t="inlineStr">
        <is>
          <t>Tutores que passeiam com pets</t>
        </is>
      </c>
      <c r="E12" s="22" t="n">
        <v>26</v>
      </c>
      <c r="F12" s="22" t="n">
        <v>11.5</v>
      </c>
      <c r="G12" s="22" t="n">
        <v>79.90000000000001</v>
      </c>
      <c r="H12" s="22" t="n">
        <v>9.5</v>
      </c>
      <c r="I12" s="22" t="n">
        <v>9.5</v>
      </c>
      <c r="J12" s="26">
        <f>IF(G12=0,0,(G12-E12-F12-H12-I12)/G12)</f>
        <v/>
      </c>
      <c r="K12" s="21" t="inlineStr">
        <is>
          <t>Médio</t>
        </is>
      </c>
      <c r="L12" s="21" t="inlineStr">
        <is>
          <t>Dropi</t>
        </is>
      </c>
      <c r="M12" s="21" t="inlineStr">
        <is>
          <t>Uso real em passeio</t>
        </is>
      </c>
      <c r="N12" s="21" t="inlineStr">
        <is>
          <t>Validar vedação e material.</t>
        </is>
      </c>
    </row>
    <row r="13">
      <c r="A13" s="21" t="inlineStr">
        <is>
          <t>Cozinha prática</t>
        </is>
      </c>
      <c r="B13" s="21" t="inlineStr">
        <is>
          <t>Porta-temperos organizador</t>
        </is>
      </c>
      <c r="C13" s="21" t="inlineStr">
        <is>
          <t>Organiza temperos e libera espaço.</t>
        </is>
      </c>
      <c r="D13" s="21" t="inlineStr">
        <is>
          <t>Famílias e cozinhas pequenas</t>
        </is>
      </c>
      <c r="E13" s="22" t="n">
        <v>20</v>
      </c>
      <c r="F13" s="22" t="n">
        <v>9.199999999999999</v>
      </c>
      <c r="G13" s="22" t="n">
        <v>59.9</v>
      </c>
      <c r="H13" s="22" t="n">
        <v>8.5</v>
      </c>
      <c r="I13" s="22" t="n">
        <v>8</v>
      </c>
      <c r="J13" s="26">
        <f>IF(G13=0,0,(G13-E13-F13-H13-I13)/G13)</f>
        <v/>
      </c>
      <c r="K13" s="21" t="inlineStr">
        <is>
          <t>Baixo</t>
        </is>
      </c>
      <c r="L13" s="21" t="inlineStr">
        <is>
          <t>DropNacional</t>
        </is>
      </c>
      <c r="M13" s="21" t="inlineStr">
        <is>
          <t>Antes/depois do armário</t>
        </is>
      </c>
      <c r="N13" s="21" t="inlineStr">
        <is>
          <t>Boa aceitação em conteúdo de organização.</t>
        </is>
      </c>
    </row>
    <row r="14">
      <c r="A14" s="21" t="inlineStr">
        <is>
          <t>Casa, organização e utilidades práticas</t>
        </is>
      </c>
      <c r="B14" s="21" t="inlineStr">
        <is>
          <t>Escova de limpeza multifuncional</t>
        </is>
      </c>
      <c r="C14" s="21" t="inlineStr">
        <is>
          <t>Facilita limpeza de cantos e superfícies.</t>
        </is>
      </c>
      <c r="D14" s="21" t="inlineStr">
        <is>
          <t>Famílias e pessoas que limpam a casa</t>
        </is>
      </c>
      <c r="E14" s="22" t="n">
        <v>18.3</v>
      </c>
      <c r="F14" s="22" t="n">
        <v>9</v>
      </c>
      <c r="G14" s="22" t="n">
        <v>54.9</v>
      </c>
      <c r="H14" s="22" t="n">
        <v>8</v>
      </c>
      <c r="I14" s="22" t="n">
        <v>7.5</v>
      </c>
      <c r="J14" s="26">
        <f>IF(G14=0,0,(G14-E14-F14-H14-I14)/G14)</f>
        <v/>
      </c>
      <c r="K14" s="21" t="inlineStr">
        <is>
          <t>Baixo</t>
        </is>
      </c>
      <c r="L14" s="21" t="inlineStr">
        <is>
          <t>AliExpress + DSers</t>
        </is>
      </c>
      <c r="M14" s="21" t="inlineStr">
        <is>
          <t>Demonstração rápida de sujeira real</t>
        </is>
      </c>
      <c r="N14" s="21" t="inlineStr">
        <is>
          <t>Produto barato, mas precisa de bom criativo.</t>
        </is>
      </c>
    </row>
    <row r="15">
      <c r="A15" s="21" t="inlineStr">
        <is>
          <t>Casa, organização e utilidades práticas</t>
        </is>
      </c>
      <c r="B15" s="21" t="inlineStr">
        <is>
          <t>Vedador de portas</t>
        </is>
      </c>
      <c r="C15" s="21" t="inlineStr">
        <is>
          <t>Ajuda a reduzir entrada de poeira, vento e ruído.</t>
        </is>
      </c>
      <c r="D15" s="21" t="inlineStr">
        <is>
          <t>Residências e apartamentos</t>
        </is>
      </c>
      <c r="E15" s="22" t="n">
        <v>15.8</v>
      </c>
      <c r="F15" s="22" t="n">
        <v>9.5</v>
      </c>
      <c r="G15" s="22" t="n">
        <v>49.9</v>
      </c>
      <c r="H15" s="22" t="n">
        <v>8</v>
      </c>
      <c r="I15" s="22" t="n">
        <v>7</v>
      </c>
      <c r="J15" s="26">
        <f>IF(G15=0,0,(G15-E15-F15-H15-I15)/G15)</f>
        <v/>
      </c>
      <c r="K15" s="21" t="inlineStr">
        <is>
          <t>Baixo</t>
        </is>
      </c>
      <c r="L15" s="21" t="inlineStr">
        <is>
          <t>Dropi</t>
        </is>
      </c>
      <c r="M15" s="21" t="inlineStr">
        <is>
          <t>Problema cotidiano com antes/depois</t>
        </is>
      </c>
      <c r="N15" s="21" t="inlineStr">
        <is>
          <t>Não prometer isolamento absoluto.</t>
        </is>
      </c>
    </row>
    <row r="16">
      <c r="A16" s="21" t="inlineStr">
        <is>
          <t>Casa, organização e utilidades práticas</t>
        </is>
      </c>
      <c r="B16" s="21" t="inlineStr">
        <is>
          <t>Luminária sensor de presença simples</t>
        </is>
      </c>
      <c r="C16" s="21" t="inlineStr">
        <is>
          <t>Ilumina passagens e armários sem instalação complexa.</t>
        </is>
      </c>
      <c r="D16" s="21" t="inlineStr">
        <is>
          <t>Residências e pequenos espaços</t>
        </is>
      </c>
      <c r="E16" s="22" t="n">
        <v>24.9</v>
      </c>
      <c r="F16" s="22" t="n">
        <v>11.5</v>
      </c>
      <c r="G16" s="22" t="n">
        <v>79.90000000000001</v>
      </c>
      <c r="H16" s="22" t="n">
        <v>9.5</v>
      </c>
      <c r="I16" s="22" t="n">
        <v>9.5</v>
      </c>
      <c r="J16" s="26">
        <f>IF(G16=0,0,(G16-E16-F16-H16-I16)/G16)</f>
        <v/>
      </c>
      <c r="K16" s="21" t="inlineStr">
        <is>
          <t>Médio</t>
        </is>
      </c>
      <c r="L16" s="21" t="inlineStr">
        <is>
          <t>Dropi</t>
        </is>
      </c>
      <c r="M16" s="21" t="inlineStr">
        <is>
          <t>Ambiente escuro antes/depois</t>
        </is>
      </c>
      <c r="N16" s="21" t="inlineStr">
        <is>
          <t>Evitar modelos elétricos complexos ou bateria ruim.</t>
        </is>
      </c>
    </row>
    <row r="17">
      <c r="A17" s="21" t="inlineStr">
        <is>
          <t>Casa, organização e utilidades práticas</t>
        </is>
      </c>
      <c r="B17" s="21" t="inlineStr">
        <is>
          <t>Saco organizador a vácuo</t>
        </is>
      </c>
      <c r="C17" s="21" t="inlineStr">
        <is>
          <t>Economiza espaço em armários e malas.</t>
        </is>
      </c>
      <c r="D17" s="21" t="inlineStr">
        <is>
          <t>Famílias, apartamentos e viagens</t>
        </is>
      </c>
      <c r="E17" s="22" t="n">
        <v>19</v>
      </c>
      <c r="F17" s="22" t="n">
        <v>9.6</v>
      </c>
      <c r="G17" s="22" t="n">
        <v>64.90000000000001</v>
      </c>
      <c r="H17" s="22" t="n">
        <v>8.5</v>
      </c>
      <c r="I17" s="22" t="n">
        <v>8.5</v>
      </c>
      <c r="J17" s="26">
        <f>IF(G17=0,0,(G17-E17-F17-H17-I17)/G17)</f>
        <v/>
      </c>
      <c r="K17" s="21" t="inlineStr">
        <is>
          <t>Baixo</t>
        </is>
      </c>
      <c r="L17" s="21" t="inlineStr">
        <is>
          <t>Dropi</t>
        </is>
      </c>
      <c r="M17" s="21" t="inlineStr">
        <is>
          <t>Antes/depois com cobertor ou roupa</t>
        </is>
      </c>
      <c r="N17" s="21" t="inlineStr">
        <is>
          <t>Checar vedação e tamanho real.</t>
        </is>
      </c>
    </row>
    <row r="18">
      <c r="A18" s="21" t="inlineStr">
        <is>
          <t>Cozinha prática</t>
        </is>
      </c>
      <c r="B18" s="21" t="inlineStr">
        <is>
          <t>Escorredor dobrável</t>
        </is>
      </c>
      <c r="C18" s="21" t="inlineStr">
        <is>
          <t>Organiza a pia e ocupa menos espaço.</t>
        </is>
      </c>
      <c r="D18" s="21" t="inlineStr">
        <is>
          <t>Cozinhas pequenas</t>
        </is>
      </c>
      <c r="E18" s="22" t="n">
        <v>16.2</v>
      </c>
      <c r="F18" s="22" t="n">
        <v>9.5</v>
      </c>
      <c r="G18" s="22" t="n">
        <v>54.9</v>
      </c>
      <c r="H18" s="22" t="n">
        <v>8</v>
      </c>
      <c r="I18" s="22" t="n">
        <v>7.5</v>
      </c>
      <c r="J18" s="26">
        <f>IF(G18=0,0,(G18-E18-F18-H18-I18)/G18)</f>
        <v/>
      </c>
      <c r="K18" s="21" t="inlineStr">
        <is>
          <t>Baixo</t>
        </is>
      </c>
      <c r="L18" s="21" t="inlineStr">
        <is>
          <t>AliExpress + DSers</t>
        </is>
      </c>
      <c r="M18" s="21" t="inlineStr">
        <is>
          <t>Demonstração na pia</t>
        </is>
      </c>
      <c r="N18" s="21" t="inlineStr">
        <is>
          <t>Validar material e peso suportado.</t>
        </is>
      </c>
    </row>
    <row r="19">
      <c r="A19" s="21" t="inlineStr">
        <is>
          <t>Casa, organização e utilidades práticas</t>
        </is>
      </c>
      <c r="B19" s="21" t="inlineStr">
        <is>
          <t>Bolsa organizadora de mala</t>
        </is>
      </c>
      <c r="C19" s="21" t="inlineStr">
        <is>
          <t>Facilita separar roupas e acessórios em viagens.</t>
        </is>
      </c>
      <c r="D19" s="21" t="inlineStr">
        <is>
          <t>Pessoas que viajam e famílias</t>
        </is>
      </c>
      <c r="E19" s="22" t="n">
        <v>21.2</v>
      </c>
      <c r="F19" s="22" t="n">
        <v>10.5</v>
      </c>
      <c r="G19" s="22" t="n">
        <v>69.90000000000001</v>
      </c>
      <c r="H19" s="22" t="n">
        <v>9</v>
      </c>
      <c r="I19" s="22" t="n">
        <v>8.5</v>
      </c>
      <c r="J19" s="26">
        <f>IF(G19=0,0,(G19-E19-F19-H19-I19)/G19)</f>
        <v/>
      </c>
      <c r="K19" s="21" t="inlineStr">
        <is>
          <t>Baixo</t>
        </is>
      </c>
      <c r="L19" s="21" t="inlineStr">
        <is>
          <t>DropNacional</t>
        </is>
      </c>
      <c r="M19" s="21" t="inlineStr">
        <is>
          <t>Mala bagunçada versus organizada</t>
        </is>
      </c>
      <c r="N19" s="21" t="inlineStr">
        <is>
          <t>Boa pauta para conteúdo orgânico.</t>
        </is>
      </c>
    </row>
    <row r="20">
      <c r="A20" s="21" t="inlineStr">
        <is>
          <t>Beleza não regulada</t>
        </is>
      </c>
      <c r="B20" s="21" t="inlineStr">
        <is>
          <t>Espelho ou organizador de maquiagem sem cosmético</t>
        </is>
      </c>
      <c r="C20" s="21" t="inlineStr">
        <is>
          <t>Organiza itens de beleza sem envolver produto regulado.</t>
        </is>
      </c>
      <c r="D20" s="21" t="inlineStr">
        <is>
          <t>Pessoas com rotina de maquiagem</t>
        </is>
      </c>
      <c r="E20" s="22" t="n">
        <v>18</v>
      </c>
      <c r="F20" s="22" t="n">
        <v>9.5</v>
      </c>
      <c r="G20" s="22" t="n">
        <v>59.9</v>
      </c>
      <c r="H20" s="22" t="n">
        <v>8.5</v>
      </c>
      <c r="I20" s="22" t="n">
        <v>8</v>
      </c>
      <c r="J20" s="26">
        <f>IF(G20=0,0,(G20-E20-F20-H20-I20)/G20)</f>
        <v/>
      </c>
      <c r="K20" s="21" t="inlineStr">
        <is>
          <t>Baixo</t>
        </is>
      </c>
      <c r="L20" s="21" t="inlineStr">
        <is>
          <t>Dropi</t>
        </is>
      </c>
      <c r="M20" s="21" t="inlineStr">
        <is>
          <t>Organização de bancada</t>
        </is>
      </c>
      <c r="N20" s="21" t="inlineStr">
        <is>
          <t>Não vender como cosmético ou item terapêutico.</t>
        </is>
      </c>
    </row>
    <row r="21">
      <c r="A21" s="21" t="inlineStr">
        <is>
          <t>Fitness leve e bem-estar sem promessa médica</t>
        </is>
      </c>
      <c r="B21" s="21" t="inlineStr">
        <is>
          <t>Garrafa ou shaker sem promessa de saúde</t>
        </is>
      </c>
      <c r="C21" s="21" t="inlineStr">
        <is>
          <t>Facilita transporte de bebida e rotina de treino.</t>
        </is>
      </c>
      <c r="D21" s="21" t="inlineStr">
        <is>
          <t>Pessoas que treinam ou trabalham fora</t>
        </is>
      </c>
      <c r="E21" s="22" t="n">
        <v>19.5</v>
      </c>
      <c r="F21" s="22" t="n">
        <v>9.5</v>
      </c>
      <c r="G21" s="22" t="n">
        <v>64.90000000000001</v>
      </c>
      <c r="H21" s="22" t="n">
        <v>8.5</v>
      </c>
      <c r="I21" s="22" t="n">
        <v>8.5</v>
      </c>
      <c r="J21" s="26">
        <f>IF(G21=0,0,(G21-E21-F21-H21-I21)/G21)</f>
        <v/>
      </c>
      <c r="K21" s="21" t="inlineStr">
        <is>
          <t>Baixo</t>
        </is>
      </c>
      <c r="L21" s="21" t="inlineStr">
        <is>
          <t>Dropi</t>
        </is>
      </c>
      <c r="M21" s="21" t="inlineStr">
        <is>
          <t>Uso real na rotina</t>
        </is>
      </c>
      <c r="N21" s="21" t="inlineStr">
        <is>
          <t>Não associar a emagrecimento ou benefício médico.</t>
        </is>
      </c>
    </row>
    <row r="22">
      <c r="A22" s="21" t="inlineStr">
        <is>
          <t>Casa, organização e utilidades práticas</t>
        </is>
      </c>
      <c r="B22" s="21" t="inlineStr">
        <is>
          <t>Suporte de parede para vassouras</t>
        </is>
      </c>
      <c r="C22" s="21" t="inlineStr">
        <is>
          <t>Organiza área de serviço e evita itens caídos.</t>
        </is>
      </c>
      <c r="D22" s="21" t="inlineStr">
        <is>
          <t>Casas, apartamentos e lavanderias</t>
        </is>
      </c>
      <c r="E22" s="22" t="n">
        <v>17.9</v>
      </c>
      <c r="F22" s="22" t="n">
        <v>9.9</v>
      </c>
      <c r="G22" s="22" t="n">
        <v>59.9</v>
      </c>
      <c r="H22" s="22" t="n">
        <v>8.5</v>
      </c>
      <c r="I22" s="22" t="n">
        <v>8</v>
      </c>
      <c r="J22" s="26">
        <f>IF(G22=0,0,(G22-E22-F22-H22-I22)/G22)</f>
        <v/>
      </c>
      <c r="K22" s="21" t="inlineStr">
        <is>
          <t>Baixo</t>
        </is>
      </c>
      <c r="L22" s="21" t="inlineStr">
        <is>
          <t>Fornecedor nacional direto</t>
        </is>
      </c>
      <c r="M22" s="21" t="inlineStr">
        <is>
          <t>Antes/depois da lavanderia</t>
        </is>
      </c>
      <c r="N22" s="21" t="inlineStr">
        <is>
          <t>Checar adesivo, parafusos e resistência.</t>
        </is>
      </c>
    </row>
    <row r="23">
      <c r="A23" s="21" t="inlineStr">
        <is>
          <t>Cozinha prática</t>
        </is>
      </c>
      <c r="B23" s="21" t="inlineStr">
        <is>
          <t>Tampa de silicone multiuso</t>
        </is>
      </c>
      <c r="C23" s="21" t="inlineStr">
        <is>
          <t>Ajuda a conservar alimentos e reduzir sujeira.</t>
        </is>
      </c>
      <c r="D23" s="21" t="inlineStr">
        <is>
          <t>Famílias e pessoas que cozinham</t>
        </is>
      </c>
      <c r="E23" s="22" t="n">
        <v>13.8</v>
      </c>
      <c r="F23" s="22" t="n">
        <v>8.9</v>
      </c>
      <c r="G23" s="22" t="n">
        <v>44.9</v>
      </c>
      <c r="H23" s="22" t="n">
        <v>7.5</v>
      </c>
      <c r="I23" s="22" t="n">
        <v>6.5</v>
      </c>
      <c r="J23" s="26">
        <f>IF(G23=0,0,(G23-E23-F23-H23-I23)/G23)</f>
        <v/>
      </c>
      <c r="K23" s="21" t="inlineStr">
        <is>
          <t>Baixo</t>
        </is>
      </c>
      <c r="L23" s="21" t="inlineStr">
        <is>
          <t>DropNacional</t>
        </is>
      </c>
      <c r="M23" s="21" t="inlineStr">
        <is>
          <t>Teste real com potes de tamanhos diferentes</t>
        </is>
      </c>
      <c r="N23" s="21" t="inlineStr">
        <is>
          <t>Validar material e embalagem individual.</t>
        </is>
      </c>
    </row>
  </sheetData>
  <autoFilter ref="A1:N23"/>
  <conditionalFormatting sqref="J2:J23">
    <cfRule type="expression" priority="1" dxfId="0">
      <formula>=J2&gt;=0.30</formula>
    </cfRule>
    <cfRule type="expression" priority="2" dxfId="1">
      <formula>=AND(J2&gt;=0.20,J2&lt;0.30)</formula>
    </cfRule>
    <cfRule type="expression" priority="3" dxfId="2">
      <formula>=J2&lt;0.20</formula>
    </cfRule>
  </conditionalFormatting>
  <conditionalFormatting sqref="K2:K23">
    <cfRule type="expression" priority="4" dxfId="0">
      <formula>=K2="Baixo"</formula>
    </cfRule>
    <cfRule type="expression" priority="5" dxfId="1">
      <formula>=K2="Médio"</formula>
    </cfRule>
    <cfRule type="expression" priority="6" dxfId="2">
      <formula>=K2="Alto"</formula>
    </cfRule>
  </conditionalFormatting>
  <dataValidations count="1">
    <dataValidation sqref="K2:K23" showDropDown="0" showInputMessage="0" showErrorMessage="0" allowBlank="1" errorTitle="Valor inválido" error="Escolha uma opção da lista." type="list">
      <formula1>"Baixo,Médio,Alto"</formula1>
    </dataValidation>
  </dataValidations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L1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  <col width="42" customWidth="1" min="4" max="4"/>
    <col width="42" customWidth="1" min="5" max="5"/>
    <col width="16" customWidth="1" min="6" max="6"/>
    <col width="42" customWidth="1" min="7" max="7"/>
    <col width="19" customWidth="1" min="8" max="8"/>
    <col width="20" customWidth="1" min="9" max="9"/>
    <col width="25" customWidth="1" min="10" max="10"/>
    <col width="42" customWidth="1" min="11" max="11"/>
    <col width="38" customWidth="1" min="12" max="12"/>
  </cols>
  <sheetData>
    <row r="1">
      <c r="A1" s="24" t="inlineStr">
        <is>
          <t>Fornecedor/Plataforma</t>
        </is>
      </c>
      <c r="B1" s="24" t="inlineStr">
        <is>
          <t>Tipo</t>
        </is>
      </c>
      <c r="C1" s="24" t="inlineStr">
        <is>
          <t>Melhor uso</t>
        </is>
      </c>
      <c r="D1" s="24" t="inlineStr">
        <is>
          <t>Vantagens</t>
        </is>
      </c>
      <c r="E1" s="24" t="inlineStr">
        <is>
          <t>Desvantagens</t>
        </is>
      </c>
      <c r="F1" s="24" t="inlineStr">
        <is>
          <t>Prazo estimado</t>
        </is>
      </c>
      <c r="G1" s="24" t="inlineStr">
        <is>
          <t>Integrações</t>
        </is>
      </c>
      <c r="H1" s="24" t="inlineStr">
        <is>
          <t>Custo aproximado</t>
        </is>
      </c>
      <c r="I1" s="24" t="inlineStr">
        <is>
          <t>Nível de confiança</t>
        </is>
      </c>
      <c r="J1" s="24" t="inlineStr">
        <is>
          <t>Indicado para iniciante</t>
        </is>
      </c>
      <c r="K1" s="24" t="inlineStr">
        <is>
          <t>Cuidados antes de usar</t>
        </is>
      </c>
      <c r="L1" s="24" t="inlineStr">
        <is>
          <t>Link oficial ou campo para validação</t>
        </is>
      </c>
    </row>
    <row r="2">
      <c r="A2" s="21" t="inlineStr">
        <is>
          <t>Dropi</t>
        </is>
      </c>
      <c r="B2" s="21" t="inlineStr">
        <is>
          <t>Plataforma brasileira</t>
        </is>
      </c>
      <c r="C2" s="21" t="inlineStr">
        <is>
          <t>Centralizar operação de dropshipping no Brasil</t>
        </is>
      </c>
      <c r="D2" s="21" t="inlineStr">
        <is>
          <t>Integrações e operação mais simples para iniciantes</t>
        </is>
      </c>
      <c r="E2" s="21" t="inlineStr">
        <is>
          <t>Plano, catálogo e fornecedores disponíveis mudam com o tempo</t>
        </is>
      </c>
      <c r="F2" s="21" t="inlineStr">
        <is>
          <t>3 a 10 dias</t>
        </is>
      </c>
      <c r="G2" s="21" t="inlineStr">
        <is>
          <t>Nuvemshop, Shopify, WooCommerce, Yampi, AliExpress, CJdropshipping e SourcinBox</t>
        </is>
      </c>
      <c r="H2" s="21" t="inlineStr">
        <is>
          <t>Variável</t>
        </is>
      </c>
      <c r="I2" s="21" t="inlineStr">
        <is>
          <t>Alta</t>
        </is>
      </c>
      <c r="J2" s="21" t="inlineStr">
        <is>
          <t>Sim</t>
        </is>
      </c>
      <c r="K2" s="21" t="inlineStr">
        <is>
          <t>Validar plano atual, catálogo, logística, prazo e reputação</t>
        </is>
      </c>
      <c r="L2" s="21" t="inlineStr">
        <is>
          <t>validar no site oficial</t>
        </is>
      </c>
    </row>
    <row r="3">
      <c r="A3" s="21" t="inlineStr">
        <is>
          <t>DropNacional</t>
        </is>
      </c>
      <c r="B3" s="21" t="inlineStr">
        <is>
          <t>Rede de fornecedores nacionais</t>
        </is>
      </c>
      <c r="C3" s="21" t="inlineStr">
        <is>
          <t>Reduzir prazo e evitar longa importação</t>
        </is>
      </c>
      <c r="D3" s="21" t="inlineStr">
        <is>
          <t>Prazo menor e mais controle sobre entrega</t>
        </is>
      </c>
      <c r="E3" s="21" t="inlineStr">
        <is>
          <t>Catálogo pode ser menor e margem pode apertar</t>
        </is>
      </c>
      <c r="F3" s="21" t="inlineStr">
        <is>
          <t>1 a 7 dias</t>
        </is>
      </c>
      <c r="G3" s="21" t="inlineStr">
        <is>
          <t>Nuvemshop, Shopify, WooCommerce e operação manual</t>
        </is>
      </c>
      <c r="H3" s="21" t="inlineStr">
        <is>
          <t>Variável</t>
        </is>
      </c>
      <c r="I3" s="21" t="inlineStr">
        <is>
          <t>Alta</t>
        </is>
      </c>
      <c r="J3" s="21" t="inlineStr">
        <is>
          <t>Sim</t>
        </is>
      </c>
      <c r="K3" s="21" t="inlineStr">
        <is>
          <t>Verificar catálogo, margem, reputação e política de troca</t>
        </is>
      </c>
      <c r="L3" s="21" t="inlineStr">
        <is>
          <t>validar no site oficial</t>
        </is>
      </c>
    </row>
    <row r="4">
      <c r="A4" s="21" t="inlineStr">
        <is>
          <t>AliExpress + DSers</t>
        </is>
      </c>
      <c r="B4" s="21" t="inlineStr">
        <is>
          <t>Marketplace internacional + app de pedidos</t>
        </is>
      </c>
      <c r="C4" s="21" t="inlineStr">
        <is>
          <t>Testar produtos com grande variedade</t>
        </is>
      </c>
      <c r="D4" s="21" t="inlineStr">
        <is>
          <t>Muito conhecido, catálogo enorme e fácil de encontrar tendências</t>
        </is>
      </c>
      <c r="E4" s="21" t="inlineStr">
        <is>
          <t>Prazo pode ser alto, qualidade varia e exige análise rigorosa</t>
        </is>
      </c>
      <c r="F4" s="21" t="inlineStr">
        <is>
          <t>10 a 25 dias</t>
        </is>
      </c>
      <c r="G4" s="21" t="inlineStr">
        <is>
          <t>Shopify, WooCommerce e Nuvemshop conforme integração disponível</t>
        </is>
      </c>
      <c r="H4" s="21" t="inlineStr">
        <is>
          <t>Gratuito/variável</t>
        </is>
      </c>
      <c r="I4" s="21" t="inlineStr">
        <is>
          <t>Média</t>
        </is>
      </c>
      <c r="J4" s="21" t="inlineStr">
        <is>
          <t>Sim com cautela</t>
        </is>
      </c>
      <c r="K4" s="21" t="inlineStr">
        <is>
          <t>Analisar avaliações, pedidos, fotos reais, prazo para o Brasil e rastreio</t>
        </is>
      </c>
      <c r="L4" s="21" t="inlineStr">
        <is>
          <t>validar no site oficial</t>
        </is>
      </c>
    </row>
    <row r="5">
      <c r="A5" s="21" t="inlineStr">
        <is>
          <t>CJdropshipping</t>
        </is>
      </c>
      <c r="B5" s="21" t="inlineStr">
        <is>
          <t>Sourcing e fulfillment internacional</t>
        </is>
      </c>
      <c r="C5" s="21" t="inlineStr">
        <is>
          <t>Escalar produtos já validados</t>
        </is>
      </c>
      <c r="D5" s="21" t="inlineStr">
        <is>
          <t>Sourcing, fulfillment e variedade de produtos</t>
        </is>
      </c>
      <c r="E5" s="21" t="inlineStr">
        <is>
          <t>Prazo, frete e disponibilidade de armazém variam</t>
        </is>
      </c>
      <c r="F5" s="21" t="inlineStr">
        <is>
          <t>7 a 20 dias</t>
        </is>
      </c>
      <c r="G5" s="21" t="inlineStr">
        <is>
          <t>Shopify, WooCommerce e outras integrações</t>
        </is>
      </c>
      <c r="H5" s="21" t="inlineStr">
        <is>
          <t>Variável</t>
        </is>
      </c>
      <c r="I5" s="21" t="inlineStr">
        <is>
          <t>Média</t>
        </is>
      </c>
      <c r="J5" s="21" t="inlineStr">
        <is>
          <t>Parcial</t>
        </is>
      </c>
      <c r="K5" s="21" t="inlineStr">
        <is>
          <t>Validar prazo, frete, armazéns disponíveis e custo final para o Brasil</t>
        </is>
      </c>
      <c r="L5" s="21" t="inlineStr">
        <is>
          <t>validar no site oficial</t>
        </is>
      </c>
    </row>
    <row r="6">
      <c r="A6" s="21" t="inlineStr">
        <is>
          <t>SourcinBox</t>
        </is>
      </c>
      <c r="B6" s="21" t="inlineStr">
        <is>
          <t>Sourcing/fulfillment</t>
        </is>
      </c>
      <c r="C6" s="21" t="inlineStr">
        <is>
          <t>Encontrar fornecedores e melhorar logística</t>
        </is>
      </c>
      <c r="D6" s="21" t="inlineStr">
        <is>
          <t>Pode ajudar no sourcing e na operação quando há volume</t>
        </is>
      </c>
      <c r="E6" s="21" t="inlineStr">
        <is>
          <t>Menos útil antes da validação do produto</t>
        </is>
      </c>
      <c r="F6" s="21" t="inlineStr">
        <is>
          <t>7 a 20 dias</t>
        </is>
      </c>
      <c r="G6" s="21" t="inlineStr">
        <is>
          <t>Shopify, WooCommerce e operação conforme disponibilidade</t>
        </is>
      </c>
      <c r="H6" s="21" t="inlineStr">
        <is>
          <t>Variável</t>
        </is>
      </c>
      <c r="I6" s="21" t="inlineStr">
        <is>
          <t>Média</t>
        </is>
      </c>
      <c r="J6" s="21" t="inlineStr">
        <is>
          <t>Não no primeiro teste</t>
        </is>
      </c>
      <c r="K6" s="21" t="inlineStr">
        <is>
          <t>Usar após validar produto, margem e demanda</t>
        </is>
      </c>
      <c r="L6" s="21" t="inlineStr">
        <is>
          <t>validar no site oficial</t>
        </is>
      </c>
    </row>
    <row r="7">
      <c r="A7" s="21" t="inlineStr">
        <is>
          <t>Zendrop</t>
        </is>
      </c>
      <c r="B7" s="21" t="inlineStr">
        <is>
          <t>Plataforma internacional</t>
        </is>
      </c>
      <c r="C7" s="21" t="inlineStr">
        <is>
          <t>Alternativa estruturada para dropshipping</t>
        </is>
      </c>
      <c r="D7" s="21" t="inlineStr">
        <is>
          <t>Boa estrutura operacional e automações</t>
        </is>
      </c>
      <c r="E7" s="21" t="inlineStr">
        <is>
          <t>Pode ter custo em dólar e logística menos vantajosa para Brasil</t>
        </is>
      </c>
      <c r="F7" s="21" t="inlineStr">
        <is>
          <t>7 a 20 dias</t>
        </is>
      </c>
      <c r="G7" s="21" t="inlineStr">
        <is>
          <t>Shopify, WooCommerce e integrações disponíveis</t>
        </is>
      </c>
      <c r="H7" s="21" t="inlineStr">
        <is>
          <t>Variável/dólar</t>
        </is>
      </c>
      <c r="I7" s="21" t="inlineStr">
        <is>
          <t>Média</t>
        </is>
      </c>
      <c r="J7" s="21" t="inlineStr">
        <is>
          <t>Parcial</t>
        </is>
      </c>
      <c r="K7" s="21" t="inlineStr">
        <is>
          <t>Comparar custo em reais, prazo e suporte ao Brasil</t>
        </is>
      </c>
      <c r="L7" s="21" t="inlineStr">
        <is>
          <t>validar no site oficial</t>
        </is>
      </c>
    </row>
    <row r="8">
      <c r="A8" s="21" t="inlineStr">
        <is>
          <t>Spocket</t>
        </is>
      </c>
      <c r="B8" s="21" t="inlineStr">
        <is>
          <t>Fornecedores EUA/Europa</t>
        </is>
      </c>
      <c r="C8" s="21" t="inlineStr">
        <is>
          <t>Alternativa internacional</t>
        </is>
      </c>
      <c r="D8" s="21" t="inlineStr">
        <is>
          <t>Catálogo curado e bons fornecedores em alguns mercados</t>
        </is>
      </c>
      <c r="E8" s="21" t="inlineStr">
        <is>
          <t>Pode não ser ideal para Brasil no começo</t>
        </is>
      </c>
      <c r="F8" s="21" t="inlineStr">
        <is>
          <t>7 a 25 dias</t>
        </is>
      </c>
      <c r="G8" s="21" t="inlineStr">
        <is>
          <t>Shopify, WooCommerce e integrações disponíveis</t>
        </is>
      </c>
      <c r="H8" s="21" t="inlineStr">
        <is>
          <t>Variável/dólar</t>
        </is>
      </c>
      <c r="I8" s="21" t="inlineStr">
        <is>
          <t>Média</t>
        </is>
      </c>
      <c r="J8" s="21" t="inlineStr">
        <is>
          <t>Não no começo</t>
        </is>
      </c>
      <c r="K8" s="21" t="inlineStr">
        <is>
          <t>Verificar prazo, frete e custo final para clientes no Brasil</t>
        </is>
      </c>
      <c r="L8" s="21" t="inlineStr">
        <is>
          <t>validar no site oficial</t>
        </is>
      </c>
    </row>
    <row r="9">
      <c r="A9" s="21" t="inlineStr">
        <is>
          <t>Fornecedor nacional direto</t>
        </is>
      </c>
      <c r="B9" s="21" t="inlineStr">
        <is>
          <t>Fabricante/distribuidor</t>
        </is>
      </c>
      <c r="C9" s="21" t="inlineStr">
        <is>
          <t>Ter prazo menor e mais controle</t>
        </is>
      </c>
      <c r="D9" s="21" t="inlineStr">
        <is>
          <t>Negociação direta, melhor prazo e possível margem maior</t>
        </is>
      </c>
      <c r="E9" s="21" t="inlineStr">
        <is>
          <t>Exige prospecção, negociação e controle manual</t>
        </is>
      </c>
      <c r="F9" s="21" t="inlineStr">
        <is>
          <t>1 a 7 dias</t>
        </is>
      </c>
      <c r="G9" s="21" t="inlineStr">
        <is>
          <t>Manual, WhatsApp, planilha ou ERP simples</t>
        </is>
      </c>
      <c r="H9" s="21" t="inlineStr">
        <is>
          <t>Variável</t>
        </is>
      </c>
      <c r="I9" s="21" t="inlineStr">
        <is>
          <t>Alta se validado</t>
        </is>
      </c>
      <c r="J9" s="21" t="inlineStr">
        <is>
          <t>Sim</t>
        </is>
      </c>
      <c r="K9" s="21" t="inlineStr">
        <is>
          <t>Confirmar CNPJ, reputação, nota fiscal, prazo, política de troca e estoque</t>
        </is>
      </c>
      <c r="L9" s="21" t="inlineStr">
        <is>
          <t>validar no site oficial</t>
        </is>
      </c>
    </row>
    <row r="10">
      <c r="A10" s="21" t="inlineStr">
        <is>
          <t>Mercado Livre atacado</t>
        </is>
      </c>
      <c r="B10" s="21" t="inlineStr">
        <is>
          <t>Marketplace B2B/atacado</t>
        </is>
      </c>
      <c r="C10" s="21" t="inlineStr">
        <is>
          <t>Testar produtos com envio mais rápido</t>
        </is>
      </c>
      <c r="D10" s="21" t="inlineStr">
        <is>
          <t>Acesso fácil a vendedores nacionais e entrega previsível</t>
        </is>
      </c>
      <c r="E10" s="21" t="inlineStr">
        <is>
          <t>Margem e reputação variam muito</t>
        </is>
      </c>
      <c r="F10" s="21" t="inlineStr">
        <is>
          <t>2 a 7 dias</t>
        </is>
      </c>
      <c r="G10" s="21" t="inlineStr">
        <is>
          <t>Manual</t>
        </is>
      </c>
      <c r="H10" s="21" t="inlineStr">
        <is>
          <t>Variável</t>
        </is>
      </c>
      <c r="I10" s="21" t="inlineStr">
        <is>
          <t>Média</t>
        </is>
      </c>
      <c r="J10" s="21" t="inlineStr">
        <is>
          <t>Parcial</t>
        </is>
      </c>
      <c r="K10" s="21" t="inlineStr">
        <is>
          <t>Verificar reputação, nota fiscal, estoque, margem e autorização de revenda</t>
        </is>
      </c>
      <c r="L10" s="21" t="inlineStr">
        <is>
          <t>validar no site oficial</t>
        </is>
      </c>
    </row>
    <row r="11">
      <c r="A11" s="21" t="inlineStr">
        <is>
          <t>Shopee fornecedores/atacado</t>
        </is>
      </c>
      <c r="B11" s="21" t="inlineStr">
        <is>
          <t>Marketplace com vendedores e atacadistas</t>
        </is>
      </c>
      <c r="C11" s="21" t="inlineStr">
        <is>
          <t>Buscar itens de baixo investimento</t>
        </is>
      </c>
      <c r="D11" s="21" t="inlineStr">
        <is>
          <t>Catálogo amplo e preços competitivos</t>
        </is>
      </c>
      <c r="E11" s="21" t="inlineStr">
        <is>
          <t>Qualidade, prazo e reputação precisam ser verificados com rigor</t>
        </is>
      </c>
      <c r="F11" s="21" t="inlineStr">
        <is>
          <t>5 a 15 dias</t>
        </is>
      </c>
      <c r="G11" s="21" t="inlineStr">
        <is>
          <t>Manual</t>
        </is>
      </c>
      <c r="H11" s="21" t="inlineStr">
        <is>
          <t>Variável</t>
        </is>
      </c>
      <c r="I11" s="21" t="inlineStr">
        <is>
          <t>Média</t>
        </is>
      </c>
      <c r="J11" s="21" t="inlineStr">
        <is>
          <t>Parcial</t>
        </is>
      </c>
      <c r="K11" s="21" t="inlineStr">
        <is>
          <t>Comprar amostra, verificar avaliações, reputação e documentação</t>
        </is>
      </c>
      <c r="L11" s="21" t="inlineStr">
        <is>
          <t>validar no site oficial</t>
        </is>
      </c>
    </row>
  </sheetData>
  <autoFilter ref="A1:L11"/>
  <conditionalFormatting sqref="I2:I11">
    <cfRule type="expression" priority="1" dxfId="0">
      <formula>=OR(I2="Alta",I2="Alta se validado")</formula>
    </cfRule>
    <cfRule type="expression" priority="2" dxfId="1">
      <formula>=I2="Média"</formula>
    </cfRule>
  </conditionalFormatting>
  <conditionalFormatting sqref="J2:J11">
    <cfRule type="expression" priority="3" dxfId="0">
      <formula>=J2="Sim"</formula>
    </cfRule>
    <cfRule type="expression" priority="4" dxfId="1">
      <formula>=OR(J2="Sim com cautela",J2="Parcial")</formula>
    </cfRule>
    <cfRule type="expression" priority="5" dxfId="2">
      <formula>=OR(J2="Não",J2="Não no começo",J2="Não no primeiro teste")</formula>
    </cfRule>
  </conditionalFormatting>
  <dataValidations count="1">
    <dataValidation sqref="J2:J11" showDropDown="0" showInputMessage="0" showErrorMessage="0" allowBlank="1" errorTitle="Valor inválido" error="Escolha uma opção da lista." type="list">
      <formula1>"Sim,Sim com cautela,Parcial,Não,Não no começo,Não no primeiro teste,Trial,Validar"</formula1>
    </dataValidation>
  </dataValidations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8C564B"/>
    <outlinePr summaryBelow="1" summaryRight="1"/>
    <pageSetUpPr fitToPage="1"/>
  </sheetPr>
  <dimension ref="A1:F1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14" customWidth="1" min="3" max="3"/>
    <col width="15" customWidth="1" min="4" max="4"/>
    <col width="14" customWidth="1" min="5" max="5"/>
    <col width="42" customWidth="1" min="6" max="6"/>
  </cols>
  <sheetData>
    <row r="1">
      <c r="A1" s="24" t="inlineStr">
        <is>
          <t>Categoria</t>
        </is>
      </c>
      <c r="B1" s="24" t="inlineStr">
        <is>
          <t>Item</t>
        </is>
      </c>
      <c r="C1" s="24" t="inlineStr">
        <is>
          <t>Econômico</t>
        </is>
      </c>
      <c r="D1" s="24" t="inlineStr">
        <is>
          <t>Intermediário</t>
        </is>
      </c>
      <c r="E1" s="24" t="inlineStr">
        <is>
          <t>Profissional</t>
        </is>
      </c>
      <c r="F1" s="24" t="inlineStr">
        <is>
          <t>Observações</t>
        </is>
      </c>
    </row>
    <row r="2">
      <c r="A2" s="21" t="inlineStr">
        <is>
          <t>Loja</t>
        </is>
      </c>
      <c r="B2" s="21" t="inlineStr">
        <is>
          <t>Plataforma de loja</t>
        </is>
      </c>
      <c r="C2" s="22" t="n">
        <v>29</v>
      </c>
      <c r="D2" s="22" t="n">
        <v>79</v>
      </c>
      <c r="E2" s="22" t="n">
        <v>299</v>
      </c>
      <c r="F2" s="21" t="inlineStr">
        <is>
          <t>Plano mensal inicial ou teste pago.</t>
        </is>
      </c>
    </row>
    <row r="3">
      <c r="A3" s="21" t="inlineStr">
        <is>
          <t>Domínio</t>
        </is>
      </c>
      <c r="B3" s="21" t="inlineStr">
        <is>
          <t>Domínio</t>
        </is>
      </c>
      <c r="C3" s="22" t="n">
        <v>40</v>
      </c>
      <c r="D3" s="22" t="n">
        <v>70</v>
      </c>
      <c r="E3" s="22" t="n">
        <v>120</v>
      </c>
      <c r="F3" s="21" t="inlineStr">
        <is>
          <t>Nome próprio aumenta confiança.</t>
        </is>
      </c>
    </row>
    <row r="4">
      <c r="A4" s="21" t="inlineStr">
        <is>
          <t>Design</t>
        </is>
      </c>
      <c r="B4" s="21" t="inlineStr">
        <is>
          <t>Tema</t>
        </is>
      </c>
      <c r="C4" s="22" t="n">
        <v>0</v>
      </c>
      <c r="D4" s="22" t="n">
        <v>150</v>
      </c>
      <c r="E4" s="22" t="n">
        <v>500</v>
      </c>
      <c r="F4" s="21" t="inlineStr">
        <is>
          <t>Tema gratuito, pago ou customização.</t>
        </is>
      </c>
    </row>
    <row r="5">
      <c r="A5" s="21" t="inlineStr">
        <is>
          <t>Apps</t>
        </is>
      </c>
      <c r="B5" s="21" t="inlineStr">
        <is>
          <t>Apps e integrações</t>
        </is>
      </c>
      <c r="C5" s="22" t="n">
        <v>0</v>
      </c>
      <c r="D5" s="22" t="n">
        <v>120</v>
      </c>
      <c r="E5" s="22" t="n">
        <v>600</v>
      </c>
      <c r="F5" s="21" t="inlineStr">
        <is>
          <t>Pagamento, avaliações, logística e recuperação de carrinho.</t>
        </is>
      </c>
    </row>
    <row r="6">
      <c r="A6" s="21" t="inlineStr">
        <is>
          <t>Integração</t>
        </is>
      </c>
      <c r="B6" s="21" t="inlineStr">
        <is>
          <t>Dropi ou ferramenta de integração</t>
        </is>
      </c>
      <c r="C6" s="22" t="n">
        <v>0</v>
      </c>
      <c r="D6" s="22" t="n">
        <v>99</v>
      </c>
      <c r="E6" s="22" t="n">
        <v>299</v>
      </c>
      <c r="F6" s="21" t="inlineStr">
        <is>
          <t>Usar se realmente reduzir trabalho operacional.</t>
        </is>
      </c>
    </row>
    <row r="7">
      <c r="A7" s="21" t="inlineStr">
        <is>
          <t>Marketing</t>
        </is>
      </c>
      <c r="B7" s="21" t="inlineStr">
        <is>
          <t>Anúncios</t>
        </is>
      </c>
      <c r="C7" s="22" t="n">
        <v>150</v>
      </c>
      <c r="D7" s="22" t="n">
        <v>800</v>
      </c>
      <c r="E7" s="22" t="n">
        <v>3000</v>
      </c>
      <c r="F7" s="21" t="inlineStr">
        <is>
          <t>Testes controlados; não escalar sem margem.</t>
        </is>
      </c>
    </row>
    <row r="8">
      <c r="A8" s="21" t="inlineStr">
        <is>
          <t>Validação</t>
        </is>
      </c>
      <c r="B8" s="21" t="inlineStr">
        <is>
          <t>Compra de amostras</t>
        </is>
      </c>
      <c r="C8" s="22" t="n">
        <v>80</v>
      </c>
      <c r="D8" s="22" t="n">
        <v>250</v>
      </c>
      <c r="E8" s="22" t="n">
        <v>600</v>
      </c>
      <c r="F8" s="21" t="inlineStr">
        <is>
          <t>Obrigatório para produto principal.</t>
        </is>
      </c>
    </row>
    <row r="9">
      <c r="A9" s="21" t="inlineStr">
        <is>
          <t>Conteúdo</t>
        </is>
      </c>
      <c r="B9" s="21" t="inlineStr">
        <is>
          <t>Edição de vídeo</t>
        </is>
      </c>
      <c r="C9" s="22" t="n">
        <v>0</v>
      </c>
      <c r="D9" s="22" t="n">
        <v>250</v>
      </c>
      <c r="E9" s="22" t="n">
        <v>1000</v>
      </c>
      <c r="F9" s="21" t="inlineStr">
        <is>
          <t>CapCut próprio, freelancer ou pacote de criativos.</t>
        </is>
      </c>
    </row>
    <row r="10">
      <c r="A10" s="21" t="inlineStr">
        <is>
          <t>Conteúdo</t>
        </is>
      </c>
      <c r="B10" s="21" t="inlineStr">
        <is>
          <t>Criativos</t>
        </is>
      </c>
      <c r="C10" s="22" t="n">
        <v>50</v>
      </c>
      <c r="D10" s="22" t="n">
        <v>200</v>
      </c>
      <c r="E10" s="22" t="n">
        <v>600</v>
      </c>
      <c r="F10" s="21" t="inlineStr">
        <is>
          <t>Imagens, vídeos, variações e testes.</t>
        </is>
      </c>
    </row>
    <row r="11">
      <c r="A11" s="21" t="inlineStr">
        <is>
          <t>Operação</t>
        </is>
      </c>
      <c r="B11" s="21" t="inlineStr">
        <is>
          <t>Reserva para reembolso</t>
        </is>
      </c>
      <c r="C11" s="22" t="n">
        <v>100</v>
      </c>
      <c r="D11" s="22" t="n">
        <v>300</v>
      </c>
      <c r="E11" s="22" t="n">
        <v>1000</v>
      </c>
      <c r="F11" s="21" t="inlineStr">
        <is>
          <t>Reserva evita quebrar por troca ou atraso.</t>
        </is>
      </c>
    </row>
    <row r="12">
      <c r="A12" s="21" t="inlineStr">
        <is>
          <t>Financeiro</t>
        </is>
      </c>
      <c r="B12" s="21" t="inlineStr">
        <is>
          <t>Taxas de pagamento</t>
        </is>
      </c>
      <c r="C12" s="22" t="n">
        <v>20</v>
      </c>
      <c r="D12" s="22" t="n">
        <v>80</v>
      </c>
      <c r="E12" s="22" t="n">
        <v>200</v>
      </c>
      <c r="F12" s="21" t="inlineStr">
        <is>
          <t>Processamento, antifraude e tarifas.</t>
        </is>
      </c>
    </row>
    <row r="13">
      <c r="A13" s="21" t="inlineStr">
        <is>
          <t>Legal</t>
        </is>
      </c>
      <c r="B13" s="21" t="inlineStr">
        <is>
          <t>Contabilidade</t>
        </is>
      </c>
      <c r="C13" s="22" t="n">
        <v>0</v>
      </c>
      <c r="D13" s="22" t="n">
        <v>120</v>
      </c>
      <c r="E13" s="22" t="n">
        <v>500</v>
      </c>
      <c r="F13" s="21" t="inlineStr">
        <is>
          <t>Validar necessidade com contador.</t>
        </is>
      </c>
    </row>
    <row r="14">
      <c r="A14" s="21" t="inlineStr">
        <is>
          <t>Legal</t>
        </is>
      </c>
      <c r="B14" s="21" t="inlineStr">
        <is>
          <t>CNPJ/MEI</t>
        </is>
      </c>
      <c r="C14" s="22" t="n">
        <v>0</v>
      </c>
      <c r="D14" s="22" t="n">
        <v>200</v>
      </c>
      <c r="E14" s="22" t="n">
        <v>800</v>
      </c>
      <c r="F14" s="21" t="inlineStr">
        <is>
          <t>Custos variam conforme formalização.</t>
        </is>
      </c>
    </row>
    <row r="15">
      <c r="A15" s="21" t="inlineStr">
        <is>
          <t>Ferramentas</t>
        </is>
      </c>
      <c r="B15" s="21" t="inlineStr">
        <is>
          <t>Ferramentas extras</t>
        </is>
      </c>
      <c r="C15" s="22" t="n">
        <v>20</v>
      </c>
      <c r="D15" s="22" t="n">
        <v>100</v>
      </c>
      <c r="E15" s="22" t="n">
        <v>400</v>
      </c>
      <c r="F15" s="21" t="inlineStr">
        <is>
          <t>Analytics, relatórios, automações e pesquisa.</t>
        </is>
      </c>
    </row>
    <row r="16">
      <c r="A16" s="21" t="inlineStr">
        <is>
          <t>Capital de giro</t>
        </is>
      </c>
      <c r="B16" s="21" t="inlineStr">
        <is>
          <t>Capital de giro</t>
        </is>
      </c>
      <c r="C16" s="22" t="n">
        <v>300</v>
      </c>
      <c r="D16" s="22" t="n">
        <v>1200</v>
      </c>
      <c r="E16" s="22" t="n">
        <v>2000</v>
      </c>
      <c r="F16" s="21" t="inlineStr">
        <is>
          <t>Cobertura para pedidos, prazo e contingência.</t>
        </is>
      </c>
    </row>
    <row r="17">
      <c r="A17" s="27" t="inlineStr"/>
      <c r="B17" s="27" t="inlineStr">
        <is>
          <t>Total estimado</t>
        </is>
      </c>
      <c r="C17" s="28">
        <f>SUM(C2:C16)</f>
        <v/>
      </c>
      <c r="D17" s="28">
        <f>SUM(D2:D16)</f>
        <v/>
      </c>
      <c r="E17" s="28">
        <f>SUM(E2:E16)</f>
        <v/>
      </c>
      <c r="F17" s="27" t="inlineStr">
        <is>
          <t>Soma das categorias</t>
        </is>
      </c>
    </row>
  </sheetData>
  <autoFilter ref="A1:F16"/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G2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29" t="inlineStr">
        <is>
          <t>Calculadora de preço, margem e CPA</t>
        </is>
      </c>
    </row>
    <row r="2" ht="36" customHeight="1">
      <c r="A2" s="2" t="inlineStr">
        <is>
          <t>Campos azuis são editáveis. Campos amarelos são fórmulas protegidas contra alteração acidental. Ajuste as taxas conforme sua plataforma e valide imposto com contador.</t>
        </is>
      </c>
      <c r="B2" s="3" t="n"/>
      <c r="C2" s="3" t="n"/>
      <c r="D2" s="3" t="n"/>
      <c r="E2" s="3" t="n"/>
      <c r="F2" s="3" t="n"/>
      <c r="G2" s="4" t="n"/>
    </row>
    <row r="3"/>
    <row r="4">
      <c r="A4" s="24" t="inlineStr">
        <is>
          <t>Campo editável</t>
        </is>
      </c>
      <c r="B4" s="24" t="inlineStr">
        <is>
          <t>Valor</t>
        </is>
      </c>
      <c r="C4" s="24" t="inlineStr">
        <is>
          <t>Observação</t>
        </is>
      </c>
    </row>
    <row r="5">
      <c r="A5" s="21" t="inlineStr">
        <is>
          <t>Custo do produto</t>
        </is>
      </c>
      <c r="B5" s="30" t="n">
        <v>29.9</v>
      </c>
      <c r="C5" s="21" t="inlineStr">
        <is>
          <t>Valor pago ao fornecedor por unidade</t>
        </is>
      </c>
    </row>
    <row r="6">
      <c r="A6" s="21" t="inlineStr">
        <is>
          <t>Frete</t>
        </is>
      </c>
      <c r="B6" s="30" t="n">
        <v>12.5</v>
      </c>
      <c r="C6" s="21" t="inlineStr">
        <is>
          <t>Custo de envio médio por unidade</t>
        </is>
      </c>
    </row>
    <row r="7">
      <c r="A7" s="21" t="inlineStr">
        <is>
          <t>Taxa da plataforma</t>
        </is>
      </c>
      <c r="B7" s="31" t="n">
        <v>0.05</v>
      </c>
      <c r="C7" s="21" t="inlineStr">
        <is>
          <t>Percentual sobre venda</t>
        </is>
      </c>
    </row>
    <row r="8">
      <c r="A8" s="21" t="inlineStr">
        <is>
          <t>Taxa do pagamento</t>
        </is>
      </c>
      <c r="B8" s="31" t="n">
        <v>0.032</v>
      </c>
      <c r="C8" s="21" t="inlineStr">
        <is>
          <t>Percentual do gateway/antifraude</t>
        </is>
      </c>
    </row>
    <row r="9">
      <c r="A9" s="21" t="inlineStr">
        <is>
          <t>Imposto estimado</t>
        </is>
      </c>
      <c r="B9" s="31" t="n">
        <v>0.06</v>
      </c>
      <c r="C9" s="21" t="inlineStr">
        <is>
          <t>Estimativa; validar com contador</t>
        </is>
      </c>
    </row>
    <row r="10">
      <c r="A10" s="21" t="inlineStr">
        <is>
          <t>CPA/anúncio</t>
        </is>
      </c>
      <c r="B10" s="30" t="n">
        <v>8</v>
      </c>
      <c r="C10" s="21" t="inlineStr">
        <is>
          <t>Custo máximo por compra</t>
        </is>
      </c>
    </row>
    <row r="11">
      <c r="A11" s="21" t="inlineStr">
        <is>
          <t>Reserva para reembolso</t>
        </is>
      </c>
      <c r="B11" s="30" t="n">
        <v>3.5</v>
      </c>
      <c r="C11" s="21" t="inlineStr">
        <is>
          <t>Valor reservado por pedido</t>
        </is>
      </c>
    </row>
    <row r="12">
      <c r="A12" s="21" t="inlineStr">
        <is>
          <t>Margem desejada</t>
        </is>
      </c>
      <c r="B12" s="31" t="n">
        <v>0.35</v>
      </c>
      <c r="C12" s="21" t="inlineStr">
        <is>
          <t>Margem líquida alvo</t>
        </is>
      </c>
    </row>
    <row r="13"/>
    <row r="14">
      <c r="A14" s="24" t="inlineStr">
        <is>
          <t>Campo calculado</t>
        </is>
      </c>
      <c r="B14" s="24" t="inlineStr">
        <is>
          <t>Valor</t>
        </is>
      </c>
      <c r="C14" s="24" t="inlineStr">
        <is>
          <t>Leitura</t>
        </is>
      </c>
    </row>
    <row r="15">
      <c r="A15" s="21" t="inlineStr">
        <is>
          <t>Custo fixo por pedido</t>
        </is>
      </c>
      <c r="B15" s="32">
        <f>B5+B6+B10+B11</f>
        <v/>
      </c>
      <c r="C15" s="21" t="inlineStr">
        <is>
          <t>Produto + frete + CPA + reserva de reembolso</t>
        </is>
      </c>
    </row>
    <row r="16">
      <c r="A16" s="21" t="inlineStr">
        <is>
          <t>Percentual consumido por taxas + margem</t>
        </is>
      </c>
      <c r="B16" s="33">
        <f>B7+B8+B9+B12</f>
        <v/>
      </c>
      <c r="C16" s="21" t="inlineStr">
        <is>
          <t>Se chegar perto de 100%, a operação é inviável</t>
        </is>
      </c>
    </row>
    <row r="17">
      <c r="A17" s="21" t="inlineStr">
        <is>
          <t>Preço mínimo</t>
        </is>
      </c>
      <c r="B17" s="32">
        <f>IF(B15&gt;=1,"Rever taxas/margem",B14/(1-B15))</f>
        <v/>
      </c>
      <c r="C17" s="21" t="inlineStr">
        <is>
          <t>Menor preço para atingir a margem desejada</t>
        </is>
      </c>
    </row>
    <row r="18">
      <c r="A18" s="21" t="inlineStr">
        <is>
          <t>Preço sugerido</t>
        </is>
      </c>
      <c r="B18" s="32">
        <f>IF(ISNUMBER(B16),ROUNDUP(B16*1.05,0)-0.1,"Rever entradas")</f>
        <v/>
      </c>
      <c r="C18" s="21" t="inlineStr">
        <is>
          <t>Preço com pequena folga comercial</t>
        </is>
      </c>
    </row>
    <row r="19">
      <c r="A19" s="21" t="inlineStr">
        <is>
          <t>Receita líquida após taxas</t>
        </is>
      </c>
      <c r="B19" s="32">
        <f>IF(ISNUMBER(B17),B17*(1-B7-B8-B9),"")</f>
        <v/>
      </c>
      <c r="C19" s="21" t="inlineStr">
        <is>
          <t>Venda menos taxas percentuais</t>
        </is>
      </c>
    </row>
    <row r="20">
      <c r="A20" s="21" t="inlineStr">
        <is>
          <t>Custo total operacional</t>
        </is>
      </c>
      <c r="B20" s="32">
        <f>B14</f>
        <v/>
      </c>
      <c r="C20" s="21" t="inlineStr">
        <is>
          <t>Custo fixo do pedido</t>
        </is>
      </c>
    </row>
    <row r="21">
      <c r="A21" s="21" t="inlineStr">
        <is>
          <t>Lucro líquido por pedido</t>
        </is>
      </c>
      <c r="B21" s="34">
        <f>IF(ISNUMBER(B17),B18-B19,"")</f>
        <v/>
      </c>
      <c r="C21" s="21" t="inlineStr">
        <is>
          <t>Resultado depois de produto, frete, CPA, reserva e taxas</t>
        </is>
      </c>
    </row>
    <row r="22">
      <c r="A22" s="21" t="inlineStr">
        <is>
          <t>Margem percentual</t>
        </is>
      </c>
      <c r="B22" s="33">
        <f>IF(ISNUMBER(B17),B20/B17,"")</f>
        <v/>
      </c>
      <c r="C22" s="21" t="inlineStr">
        <is>
          <t>Lucro líquido dividido pelo preço de venda</t>
        </is>
      </c>
    </row>
    <row r="23">
      <c r="A23" s="21" t="inlineStr">
        <is>
          <t>ROI de anúncio</t>
        </is>
      </c>
      <c r="B23" s="35">
        <f>IF(B10&gt;0,B20/B10,"")</f>
        <v/>
      </c>
      <c r="C23" s="21" t="inlineStr">
        <is>
          <t>Lucro líquido dividido pelo CPA</t>
        </is>
      </c>
    </row>
    <row r="24"/>
    <row r="25">
      <c r="A25" s="2" t="inlineStr">
        <is>
          <t>Regra prática</t>
        </is>
      </c>
      <c r="B25" s="2" t="inlineStr">
        <is>
          <t>Se o preço sugerido ficar fora do valor percebido pelo cliente ou a margem ficar abaixo de 20%, revise produto, fornecedor, frete, CPA ou oferta antes de anunciar.</t>
        </is>
      </c>
      <c r="C25" s="36" t="n"/>
      <c r="D25" s="36" t="n"/>
      <c r="E25" s="36" t="n"/>
      <c r="F25" s="36" t="n"/>
      <c r="G25" s="36" t="n"/>
    </row>
    <row r="26">
      <c r="A26" s="36" t="n"/>
      <c r="B26" s="36" t="n"/>
      <c r="C26" s="36" t="n"/>
      <c r="D26" s="36" t="n"/>
      <c r="E26" s="36" t="n"/>
      <c r="F26" s="36" t="n"/>
      <c r="G26" s="36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autoFilter ref="A14:C23"/>
  <mergeCells count="3">
    <mergeCell ref="B25:G26"/>
    <mergeCell ref="A2:G2"/>
    <mergeCell ref="A1:G1"/>
  </mergeCells>
  <conditionalFormatting sqref="B22">
    <cfRule type="expression" priority="1" dxfId="0">
      <formula>=B22&gt;=0.30</formula>
    </cfRule>
    <cfRule type="expression" priority="2" dxfId="1">
      <formula>=AND(B22&gt;=0.20,B22&lt;0.30)</formula>
    </cfRule>
    <cfRule type="expression" priority="3" dxfId="2">
      <formula>=B22&lt;0.20</formula>
    </cfRule>
  </conditionalFormatting>
  <dataValidations count="4">
    <dataValidation sqref="B5:B6" showDropDown="0" showInputMessage="0" showErrorMessage="0" allowBlank="0" errorTitle="Número inválido" error="Use um valor em reais entre 0 e 10.000." type="decimal" operator="between">
      <formula1>0</formula1>
      <formula2>10000</formula2>
    </dataValidation>
    <dataValidation sqref="B7:B9" showDropDown="0" showInputMessage="0" showErrorMessage="0" allowBlank="0" errorTitle="Número inválido" error="Use um percentual entre 0% e 95%." type="decimal" operator="between">
      <formula1>0</formula1>
      <formula2>0.95</formula2>
    </dataValidation>
    <dataValidation sqref="B10:B11" showDropDown="0" showInputMessage="0" showErrorMessage="0" allowBlank="0" errorTitle="Número inválido" error="Use um valor em reais entre 0 e 10.000." type="decimal" operator="between">
      <formula1>0</formula1>
      <formula2>10000</formula2>
    </dataValidation>
    <dataValidation sqref="B12" showDropDown="0" showInputMessage="0" showErrorMessage="0" allowBlank="0" errorTitle="Número inválido" error="Use uma margem desejada entre 0% e 95%." type="decimal" operator="between">
      <formula1>0</formula1>
      <formula2>0.95</formula2>
    </dataValidation>
  </dataValidations>
  <pageMargins left="0.25" right="0.25" top="0.5" bottom="0.5" header="0.2" footer="0.2"/>
  <pageSetup orientation="landscape" fitToHeight="0" fitToWidth="1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1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7" customWidth="1" min="2" max="2"/>
    <col width="42" customWidth="1" min="3" max="3"/>
    <col width="30" customWidth="1" min="4" max="4"/>
    <col width="10" customWidth="1" min="5" max="5"/>
  </cols>
  <sheetData>
    <row r="1">
      <c r="A1" s="24" t="inlineStr">
        <is>
          <t>Item</t>
        </is>
      </c>
      <c r="B1" s="24" t="inlineStr">
        <is>
          <t>Por que é importante</t>
        </is>
      </c>
      <c r="C1" s="24" t="inlineStr">
        <is>
          <t>Como fazer bem</t>
        </is>
      </c>
      <c r="D1" s="24" t="inlineStr">
        <is>
          <t>Erro comum</t>
        </is>
      </c>
      <c r="E1" s="24" t="inlineStr">
        <is>
          <t>Status</t>
        </is>
      </c>
    </row>
    <row r="2">
      <c r="A2" s="21" t="inlineStr">
        <is>
          <t>Nome</t>
        </is>
      </c>
      <c r="B2" s="21" t="inlineStr">
        <is>
          <t>Marca e identificação</t>
        </is>
      </c>
      <c r="C2" s="21" t="inlineStr">
        <is>
          <t>Escolher nome claro, memorável e fácil de escrever</t>
        </is>
      </c>
      <c r="D2" s="21" t="inlineStr">
        <is>
          <t>Nome genérico ou difícil</t>
        </is>
      </c>
      <c r="E2" s="21" t="inlineStr">
        <is>
          <t>Pendente</t>
        </is>
      </c>
    </row>
    <row r="3">
      <c r="A3" s="21" t="inlineStr">
        <is>
          <t>Logo</t>
        </is>
      </c>
      <c r="B3" s="21" t="inlineStr">
        <is>
          <t>Cria confiança</t>
        </is>
      </c>
      <c r="C3" s="21" t="inlineStr">
        <is>
          <t>Usar logo simples, legível e coerente com a categoria</t>
        </is>
      </c>
      <c r="D3" s="21" t="inlineStr">
        <is>
          <t>Logo poluído</t>
        </is>
      </c>
      <c r="E3" s="21" t="inlineStr">
        <is>
          <t>Pendente</t>
        </is>
      </c>
    </row>
    <row r="4">
      <c r="A4" s="21" t="inlineStr">
        <is>
          <t>Paleta</t>
        </is>
      </c>
      <c r="B4" s="21" t="inlineStr">
        <is>
          <t>Ajuda a transmitir profissionalismo</t>
        </is>
      </c>
      <c r="C4" s="21" t="inlineStr">
        <is>
          <t>Usar 2 a 3 cores com contraste suficiente</t>
        </is>
      </c>
      <c r="D4" s="21" t="inlineStr">
        <is>
          <t>Cores fortes demais</t>
        </is>
      </c>
      <c r="E4" s="21" t="inlineStr">
        <is>
          <t>Pendente</t>
        </is>
      </c>
    </row>
    <row r="5">
      <c r="A5" s="21" t="inlineStr">
        <is>
          <t>Domínio</t>
        </is>
      </c>
      <c r="B5" s="21" t="inlineStr">
        <is>
          <t>Facilita lembrança</t>
        </is>
      </c>
      <c r="C5" s="21" t="inlineStr">
        <is>
          <t>Escolher nome curto e sem caracteres estranhos</t>
        </is>
      </c>
      <c r="D5" s="21" t="inlineStr">
        <is>
          <t>Domínio longo</t>
        </is>
      </c>
      <c r="E5" s="21" t="inlineStr">
        <is>
          <t>Pendente</t>
        </is>
      </c>
    </row>
    <row r="6">
      <c r="A6" s="21" t="inlineStr">
        <is>
          <t>Página inicial</t>
        </is>
      </c>
      <c r="B6" s="21" t="inlineStr">
        <is>
          <t>Define primeira impressão</t>
        </is>
      </c>
      <c r="C6" s="21" t="inlineStr">
        <is>
          <t>Mostrar categoria, benefício, produto e prova social honesta</t>
        </is>
      </c>
      <c r="D6" s="21" t="inlineStr">
        <is>
          <t>Página confusa</t>
        </is>
      </c>
      <c r="E6" s="21" t="inlineStr">
        <is>
          <t>Pendente</t>
        </is>
      </c>
    </row>
    <row r="7">
      <c r="A7" s="21" t="inlineStr">
        <is>
          <t>Página de produto</t>
        </is>
      </c>
      <c r="B7" s="21" t="inlineStr">
        <is>
          <t>Aumenta conversão</t>
        </is>
      </c>
      <c r="C7" s="21" t="inlineStr">
        <is>
          <t>Foto, vídeo, descrição, preço, prazo e CTA visível</t>
        </is>
      </c>
      <c r="D7" s="21" t="inlineStr">
        <is>
          <t>Texto genérico</t>
        </is>
      </c>
      <c r="E7" s="21" t="inlineStr">
        <is>
          <t>Pendente</t>
        </is>
      </c>
    </row>
    <row r="8">
      <c r="A8" s="21" t="inlineStr">
        <is>
          <t>Fotos</t>
        </is>
      </c>
      <c r="B8" s="21" t="inlineStr">
        <is>
          <t>Mostram o produto com realismo</t>
        </is>
      </c>
      <c r="C8" s="21" t="inlineStr">
        <is>
          <t>Usar imagens reais ou autorizadas e boa iluminação</t>
        </is>
      </c>
      <c r="D8" s="21" t="inlineStr">
        <is>
          <t>Foto copiada sem autorização</t>
        </is>
      </c>
      <c r="E8" s="21" t="inlineStr">
        <is>
          <t>Pendente</t>
        </is>
      </c>
    </row>
    <row r="9">
      <c r="A9" s="21" t="inlineStr">
        <is>
          <t>Vídeos</t>
        </is>
      </c>
      <c r="B9" s="21" t="inlineStr">
        <is>
          <t>Aumentam confiança</t>
        </is>
      </c>
      <c r="C9" s="21" t="inlineStr">
        <is>
          <t>Mostrar uso real, antes/depois e escala do produto</t>
        </is>
      </c>
      <c r="D9" s="21" t="inlineStr">
        <is>
          <t>Vídeo sem contexto</t>
        </is>
      </c>
      <c r="E9" s="21" t="inlineStr">
        <is>
          <t>Pendente</t>
        </is>
      </c>
    </row>
    <row r="10">
      <c r="A10" s="21" t="inlineStr">
        <is>
          <t>Descrição</t>
        </is>
      </c>
      <c r="B10" s="21" t="inlineStr">
        <is>
          <t>Explica benefício e uso</t>
        </is>
      </c>
      <c r="C10" s="21" t="inlineStr">
        <is>
          <t>Escrever problema, solução, conteúdo da embalagem e cuidados</t>
        </is>
      </c>
      <c r="D10" s="21" t="inlineStr">
        <is>
          <t>Promessa exagerada</t>
        </is>
      </c>
      <c r="E10" s="21" t="inlineStr">
        <is>
          <t>Pendente</t>
        </is>
      </c>
    </row>
    <row r="11">
      <c r="A11" s="21" t="inlineStr">
        <is>
          <t>Prova social</t>
        </is>
      </c>
      <c r="B11" s="21" t="inlineStr">
        <is>
          <t>Reduz dúvida</t>
        </is>
      </c>
      <c r="C11" s="21" t="inlineStr">
        <is>
          <t>Usar avaliações reais e políticas transparentes</t>
        </is>
      </c>
      <c r="D11" s="21" t="inlineStr">
        <is>
          <t>Depoimento inventado</t>
        </is>
      </c>
      <c r="E11" s="21" t="inlineStr">
        <is>
          <t>Pendente</t>
        </is>
      </c>
    </row>
    <row r="12">
      <c r="A12" s="21" t="inlineStr">
        <is>
          <t>Frete</t>
        </is>
      </c>
      <c r="B12" s="21" t="inlineStr">
        <is>
          <t>Evita frustração</t>
        </is>
      </c>
      <c r="C12" s="21" t="inlineStr">
        <is>
          <t>Informar prazo realista e rastreio</t>
        </is>
      </c>
      <c r="D12" s="21" t="inlineStr">
        <is>
          <t>Prazo curto sem base</t>
        </is>
      </c>
      <c r="E12" s="21" t="inlineStr">
        <is>
          <t>Pendente</t>
        </is>
      </c>
    </row>
    <row r="13">
      <c r="A13" s="21" t="inlineStr">
        <is>
          <t>Política de troca</t>
        </is>
      </c>
      <c r="B13" s="21" t="inlineStr">
        <is>
          <t>Evita disputa</t>
        </is>
      </c>
      <c r="C13" s="21" t="inlineStr">
        <is>
          <t>Explicar prazo, condições e fluxo de atendimento</t>
        </is>
      </c>
      <c r="D13" s="21" t="inlineStr">
        <is>
          <t>Sem regra clara</t>
        </is>
      </c>
      <c r="E13" s="21" t="inlineStr">
        <is>
          <t>Pendente</t>
        </is>
      </c>
    </row>
    <row r="14">
      <c r="A14" s="21" t="inlineStr">
        <is>
          <t>Política de privacidade</t>
        </is>
      </c>
      <c r="B14" s="21" t="inlineStr">
        <is>
          <t>Obrigatória para dados pessoais</t>
        </is>
      </c>
      <c r="C14" s="21" t="inlineStr">
        <is>
          <t>Descrever coleta, finalidade e contato</t>
        </is>
      </c>
      <c r="D14" s="21" t="inlineStr">
        <is>
          <t>Falta de transparência</t>
        </is>
      </c>
      <c r="E14" s="21" t="inlineStr">
        <is>
          <t>Pendente</t>
        </is>
      </c>
    </row>
    <row r="15">
      <c r="A15" s="21" t="inlineStr">
        <is>
          <t>Termos de uso</t>
        </is>
      </c>
      <c r="B15" s="21" t="inlineStr">
        <is>
          <t>Protege operação</t>
        </is>
      </c>
      <c r="C15" s="21" t="inlineStr">
        <is>
          <t>Incluir regras da loja e limites de responsabilidade</t>
        </is>
      </c>
      <c r="D15" s="21" t="inlineStr">
        <is>
          <t>Sem termos</t>
        </is>
      </c>
      <c r="E15" s="21" t="inlineStr">
        <is>
          <t>Pendente</t>
        </is>
      </c>
    </row>
    <row r="16">
      <c r="A16" s="21" t="inlineStr">
        <is>
          <t>Página de rastreio</t>
        </is>
      </c>
      <c r="B16" s="21" t="inlineStr">
        <is>
          <t>Melhora pós-venda</t>
        </is>
      </c>
      <c r="C16" s="21" t="inlineStr">
        <is>
          <t>Criar local claro para acompanhamento</t>
        </is>
      </c>
      <c r="D16" s="21" t="inlineStr">
        <is>
          <t>Cliente sem status</t>
        </is>
      </c>
      <c r="E16" s="21" t="inlineStr">
        <is>
          <t>Pendente</t>
        </is>
      </c>
    </row>
    <row r="17">
      <c r="A17" s="21" t="inlineStr">
        <is>
          <t>WhatsApp ou e-mail</t>
        </is>
      </c>
      <c r="B17" s="21" t="inlineStr">
        <is>
          <t>Atendimento rápido</t>
        </is>
      </c>
      <c r="C17" s="21" t="inlineStr">
        <is>
          <t>Configurar canal, horário e resposta padrão</t>
        </is>
      </c>
      <c r="D17" s="21" t="inlineStr">
        <is>
          <t>Falta de resposta</t>
        </is>
      </c>
      <c r="E17" s="21" t="inlineStr">
        <is>
          <t>Pendente</t>
        </is>
      </c>
    </row>
    <row r="18">
      <c r="A18" s="21" t="inlineStr">
        <is>
          <t>Checkout</t>
        </is>
      </c>
      <c r="B18" s="21" t="inlineStr">
        <is>
          <t>Fecha venda</t>
        </is>
      </c>
      <c r="C18" s="21" t="inlineStr">
        <is>
          <t>Reduzir etapas e campos desnecessários</t>
        </is>
      </c>
      <c r="D18" s="21" t="inlineStr">
        <is>
          <t>Checkout longo</t>
        </is>
      </c>
      <c r="E18" s="21" t="inlineStr">
        <is>
          <t>Pendente</t>
        </is>
      </c>
    </row>
    <row r="19">
      <c r="A19" s="21" t="inlineStr">
        <is>
          <t>Teste de compra</t>
        </is>
      </c>
      <c r="B19" s="21" t="inlineStr">
        <is>
          <t>Valida processo inteiro</t>
        </is>
      </c>
      <c r="C19" s="21" t="inlineStr">
        <is>
          <t>Fazer pedido real e revisar e-mails, pagamento e rastreio</t>
        </is>
      </c>
      <c r="D19" s="21" t="inlineStr">
        <is>
          <t>Não testar</t>
        </is>
      </c>
      <c r="E19" s="21" t="inlineStr">
        <is>
          <t>Pendente</t>
        </is>
      </c>
    </row>
  </sheetData>
  <autoFilter ref="A1:E19"/>
  <conditionalFormatting sqref="E2:E19">
    <cfRule type="expression" priority="1" dxfId="0">
      <formula>=$E2="Feito"</formula>
    </cfRule>
    <cfRule type="expression" priority="2" dxfId="2">
      <formula>=$E2="Bloqueado"</formula>
    </cfRule>
  </conditionalFormatting>
  <dataValidations count="1">
    <dataValidation sqref="E2:E19" showDropDown="0" showInputMessage="0" showErrorMessage="0" allowBlank="0" errorTitle="Valor inválido" error="Escolha uma opção da lista." promptTitle="Opções" prompt="Escolha: Pendente, Em andamento, Feito ou Bloqueado." type="list">
      <formula1>"Pendente,Em andamento,Feito,Bloqueado"</formula1>
    </dataValidation>
  </dataValidations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FF9896"/>
    <outlinePr summaryBelow="1" summaryRight="1"/>
    <pageSetUpPr fitToPage="1"/>
  </sheetPr>
  <dimension ref="A1:J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2" customWidth="1" min="3" max="3"/>
    <col width="39" customWidth="1" min="4" max="4"/>
    <col width="18" customWidth="1" min="5" max="5"/>
    <col width="32" customWidth="1" min="6" max="6"/>
    <col width="29" customWidth="1" min="7" max="7"/>
    <col width="42" customWidth="1" min="8" max="8"/>
    <col width="39" customWidth="1" min="9" max="9"/>
    <col width="42" customWidth="1" min="10" max="10"/>
  </cols>
  <sheetData>
    <row r="1">
      <c r="A1" s="24" t="inlineStr">
        <is>
          <t>Dia/Semana</t>
        </is>
      </c>
      <c r="B1" s="24" t="inlineStr">
        <is>
          <t>Plataforma</t>
        </is>
      </c>
      <c r="C1" s="24" t="inlineStr">
        <is>
          <t>Objetivo</t>
        </is>
      </c>
      <c r="D1" s="24" t="inlineStr">
        <is>
          <t>Campanha</t>
        </is>
      </c>
      <c r="E1" s="24" t="inlineStr">
        <is>
          <t>Orçamento diário</t>
        </is>
      </c>
      <c r="F1" s="24" t="inlineStr">
        <is>
          <t>Criativos</t>
        </is>
      </c>
      <c r="G1" s="24" t="inlineStr">
        <is>
          <t>Métrica principal</t>
        </is>
      </c>
      <c r="H1" s="24" t="inlineStr">
        <is>
          <t>Regra para pausar</t>
        </is>
      </c>
      <c r="I1" s="24" t="inlineStr">
        <is>
          <t>Regra para escalar</t>
        </is>
      </c>
      <c r="J1" s="24" t="inlineStr">
        <is>
          <t>Observações</t>
        </is>
      </c>
    </row>
    <row r="2">
      <c r="A2" s="21" t="inlineStr">
        <is>
          <t>Dias 1 a 7</t>
        </is>
      </c>
      <c r="B2" s="21" t="inlineStr">
        <is>
          <t>Meta Ads / TikTok Ads</t>
        </is>
      </c>
      <c r="C2" s="21" t="inlineStr">
        <is>
          <t>Pesquisa e criativos</t>
        </is>
      </c>
      <c r="D2" s="21" t="inlineStr">
        <is>
          <t>Teste de audiência inicial</t>
        </is>
      </c>
      <c r="E2" s="21" t="inlineStr">
        <is>
          <t>R$ 10 a R$ 20</t>
        </is>
      </c>
      <c r="F2" s="21" t="inlineStr">
        <is>
          <t>3 a 5 criativos por produto</t>
        </is>
      </c>
      <c r="G2" s="21" t="inlineStr">
        <is>
          <t>CTR, retenção e CPC</t>
        </is>
      </c>
      <c r="H2" s="21" t="inlineStr">
        <is>
          <t>CTR baixo ou CPC alto sem sinal de compra</t>
        </is>
      </c>
      <c r="I2" s="21" t="inlineStr">
        <is>
          <t>Não escalar nesta fase</t>
        </is>
      </c>
      <c r="J2" s="21" t="inlineStr">
        <is>
          <t>Validar promessa, ângulo e página antes de gastar mais.</t>
        </is>
      </c>
    </row>
    <row r="3">
      <c r="A3" s="21" t="inlineStr">
        <is>
          <t>Dias 8 a 14</t>
        </is>
      </c>
      <c r="B3" s="21" t="inlineStr">
        <is>
          <t>Meta Ads / TikTok Ads</t>
        </is>
      </c>
      <c r="C3" s="21" t="inlineStr">
        <is>
          <t>Testes pequenos</t>
        </is>
      </c>
      <c r="D3" s="21" t="inlineStr">
        <is>
          <t>Campanhas de 1 produto</t>
        </is>
      </c>
      <c r="E3" s="21" t="inlineStr">
        <is>
          <t>R$ 20 a R$ 40</t>
        </is>
      </c>
      <c r="F3" s="21" t="inlineStr">
        <is>
          <t>2 a 3 criativos vencedores</t>
        </is>
      </c>
      <c r="G3" s="21" t="inlineStr">
        <is>
          <t>CPA, checkout e conversão</t>
        </is>
      </c>
      <c r="H3" s="21" t="inlineStr">
        <is>
          <t>Sem venda após gasto relevante ao CPA máximo</t>
        </is>
      </c>
      <c r="I3" s="21" t="inlineStr">
        <is>
          <t>Escalar só se houver margem positiva</t>
        </is>
      </c>
      <c r="J3" s="21" t="inlineStr">
        <is>
          <t>Separar orçamento por produto e pausar rápido o que não responde.</t>
        </is>
      </c>
    </row>
    <row r="4">
      <c r="A4" s="21" t="inlineStr">
        <is>
          <t>Dias 15 a 21</t>
        </is>
      </c>
      <c r="B4" s="21" t="inlineStr">
        <is>
          <t>Meta Ads / TikTok Ads</t>
        </is>
      </c>
      <c r="C4" s="21" t="inlineStr">
        <is>
          <t>Otimização</t>
        </is>
      </c>
      <c r="D4" s="21" t="inlineStr">
        <is>
          <t>Ajuste de criativos, público e oferta</t>
        </is>
      </c>
      <c r="E4" s="21" t="inlineStr">
        <is>
          <t>R$ 30 a R$ 60</t>
        </is>
      </c>
      <c r="F4" s="21" t="inlineStr">
        <is>
          <t>Variações do melhor criativo</t>
        </is>
      </c>
      <c r="G4" s="21" t="inlineStr">
        <is>
          <t>ROAS e lucro líquido</t>
        </is>
      </c>
      <c r="H4" s="21" t="inlineStr">
        <is>
          <t>CPA acima do limite por 2 dias</t>
        </is>
      </c>
      <c r="I4" s="21" t="inlineStr">
        <is>
          <t>Aumentar 15% a 25% com dados</t>
        </is>
      </c>
      <c r="J4" s="21" t="inlineStr">
        <is>
          <t>Revisar frete, preço, prova social e checkout.</t>
        </is>
      </c>
    </row>
    <row r="5">
      <c r="A5" s="21" t="inlineStr">
        <is>
          <t>Dias 22 a 30</t>
        </is>
      </c>
      <c r="B5" s="21" t="inlineStr">
        <is>
          <t>Meta Ads / TikTok Ads</t>
        </is>
      </c>
      <c r="C5" s="21" t="inlineStr">
        <is>
          <t>Escala controlada</t>
        </is>
      </c>
      <c r="D5" s="21" t="inlineStr">
        <is>
          <t>Campanha com melhor performance</t>
        </is>
      </c>
      <c r="E5" s="21" t="inlineStr">
        <is>
          <t>R$ 40 a R$ 80</t>
        </is>
      </c>
      <c r="F5" s="21" t="inlineStr">
        <is>
          <t>Criativo principal + variações</t>
        </is>
      </c>
      <c r="G5" s="21" t="inlineStr">
        <is>
          <t>Lucro líquido e reclamações</t>
        </is>
      </c>
      <c r="H5" s="21" t="inlineStr">
        <is>
          <t>Queda de margem, atraso ou reclamação</t>
        </is>
      </c>
      <c r="I5" s="21" t="inlineStr">
        <is>
          <t>Escalar gradualmente mantendo reserva</t>
        </is>
      </c>
      <c r="J5" s="21" t="inlineStr">
        <is>
          <t>Não aumentar orçamento se fornecedor estiver instável.</t>
        </is>
      </c>
    </row>
  </sheetData>
  <autoFilter ref="A1:J5"/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674EA7"/>
    <outlinePr summaryBelow="1" summaryRight="1"/>
    <pageSetUpPr fitToPage="1"/>
  </sheetPr>
  <dimension ref="A1:G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42" customWidth="1" min="4" max="4"/>
    <col width="42" customWidth="1" min="5" max="5"/>
    <col width="29" customWidth="1" min="6" max="6"/>
    <col width="34" customWidth="1" min="7" max="7"/>
  </cols>
  <sheetData>
    <row r="1">
      <c r="A1" s="24" t="inlineStr">
        <is>
          <t>Plataforma</t>
        </is>
      </c>
      <c r="B1" s="24" t="inlineStr">
        <is>
          <t>Frequência</t>
        </is>
      </c>
      <c r="C1" s="24" t="inlineStr">
        <is>
          <t>Tipo de vídeo</t>
        </is>
      </c>
      <c r="D1" s="24" t="inlineStr">
        <is>
          <t>Roteiro curto</t>
        </is>
      </c>
      <c r="E1" s="24" t="inlineStr">
        <is>
          <t>Objetivo</t>
        </is>
      </c>
      <c r="F1" s="24" t="inlineStr">
        <is>
          <t>Produto ideal</t>
        </is>
      </c>
      <c r="G1" s="24" t="inlineStr">
        <is>
          <t>CTA</t>
        </is>
      </c>
    </row>
    <row r="2">
      <c r="A2" s="21" t="inlineStr">
        <is>
          <t>TikTok</t>
        </is>
      </c>
      <c r="B2" s="21" t="inlineStr">
        <is>
          <t>5 a 7 vídeos/semana</t>
        </is>
      </c>
      <c r="C2" s="21" t="inlineStr">
        <is>
          <t>Antes e depois</t>
        </is>
      </c>
      <c r="D2" s="21" t="inlineStr">
        <is>
          <t>Mostre o problema, aplique o produto e finalize com o resultado</t>
        </is>
      </c>
      <c r="E2" s="21" t="inlineStr">
        <is>
          <t>Gerar alcance e salvar criativos vencedores</t>
        </is>
      </c>
      <c r="F2" s="21" t="inlineStr">
        <is>
          <t>Organizador de cabos</t>
        </is>
      </c>
      <c r="G2" s="21" t="inlineStr">
        <is>
          <t>Comente 'quero' ou acesse a loja</t>
        </is>
      </c>
    </row>
    <row r="3">
      <c r="A3" s="21" t="inlineStr">
        <is>
          <t>Instagram Reels</t>
        </is>
      </c>
      <c r="B3" s="21" t="inlineStr">
        <is>
          <t>4 a 5 vídeos/semana</t>
        </is>
      </c>
      <c r="C3" s="21" t="inlineStr">
        <is>
          <t>Demonstração rápida</t>
        </is>
      </c>
      <c r="D3" s="21" t="inlineStr">
        <is>
          <t>Mostre uso real nos primeiros 3 segundos</t>
        </is>
      </c>
      <c r="E3" s="21" t="inlineStr">
        <is>
          <t>Construir confiança e remarketing</t>
        </is>
      </c>
      <c r="F3" s="21" t="inlineStr">
        <is>
          <t>Suporte adesivo para tomada</t>
        </is>
      </c>
      <c r="G3" s="21" t="inlineStr">
        <is>
          <t>Salve para testar em casa</t>
        </is>
      </c>
    </row>
    <row r="4">
      <c r="A4" s="21" t="inlineStr">
        <is>
          <t>YouTube Shorts</t>
        </is>
      </c>
      <c r="B4" s="21" t="inlineStr">
        <is>
          <t>3 a 4 vídeos/semana</t>
        </is>
      </c>
      <c r="C4" s="21" t="inlineStr">
        <is>
          <t>Teste real</t>
        </is>
      </c>
      <c r="D4" s="21" t="inlineStr">
        <is>
          <t>Compare rotina antes/depois com legenda objetiva</t>
        </is>
      </c>
      <c r="E4" s="21" t="inlineStr">
        <is>
          <t>Gerar busca e prova de uso</t>
        </is>
      </c>
      <c r="F4" s="21" t="inlineStr">
        <is>
          <t>Escova removedora de pelos</t>
        </is>
      </c>
      <c r="G4" s="21" t="inlineStr">
        <is>
          <t>Veja mais detalhes na loja</t>
        </is>
      </c>
    </row>
    <row r="5">
      <c r="A5" s="21" t="inlineStr">
        <is>
          <t>Pinterest</t>
        </is>
      </c>
      <c r="B5" s="21" t="inlineStr">
        <is>
          <t>2 a 3 pins/semana</t>
        </is>
      </c>
      <c r="C5" s="21" t="inlineStr">
        <is>
          <t>Organização visual</t>
        </is>
      </c>
      <c r="D5" s="21" t="inlineStr">
        <is>
          <t>Foto ou vídeo curto com resultado organizado</t>
        </is>
      </c>
      <c r="E5" s="21" t="inlineStr">
        <is>
          <t>Tráfego de cauda longa</t>
        </is>
      </c>
      <c r="F5" s="21" t="inlineStr">
        <is>
          <t>Organizador de geladeira</t>
        </is>
      </c>
      <c r="G5" s="21" t="inlineStr">
        <is>
          <t>Clique para ver a lista completa</t>
        </is>
      </c>
    </row>
    <row r="6">
      <c r="A6" s="21" t="inlineStr">
        <is>
          <t>TikTok</t>
        </is>
      </c>
      <c r="B6" s="21" t="inlineStr">
        <is>
          <t>3 vídeos/semana</t>
        </is>
      </c>
      <c r="C6" s="21" t="inlineStr">
        <is>
          <t>3 coisas que resolvem...</t>
        </is>
      </c>
      <c r="D6" s="21" t="inlineStr">
        <is>
          <t>Liste três problemas e mostre uma solução prática</t>
        </is>
      </c>
      <c r="E6" s="21" t="inlineStr">
        <is>
          <t>Testar ângulos de comunicação</t>
        </is>
      </c>
      <c r="F6" s="21" t="inlineStr">
        <is>
          <t>Escova multifuncional</t>
        </is>
      </c>
      <c r="G6" s="21" t="inlineStr">
        <is>
          <t>Siga para mais soluções simples</t>
        </is>
      </c>
    </row>
    <row r="7">
      <c r="A7" s="21" t="inlineStr">
        <is>
          <t>Instagram Reels</t>
        </is>
      </c>
      <c r="B7" s="21" t="inlineStr">
        <is>
          <t>2 vídeos/semana</t>
        </is>
      </c>
      <c r="C7" s="21" t="inlineStr">
        <is>
          <t>Cozinha prática</t>
        </is>
      </c>
      <c r="D7" s="21" t="inlineStr">
        <is>
          <t>Mostre preparo mais rápido ou espaço organizado</t>
        </is>
      </c>
      <c r="E7" s="21" t="inlineStr">
        <is>
          <t>Aumentar percepção de valor</t>
        </is>
      </c>
      <c r="F7" s="21" t="inlineStr">
        <is>
          <t>Escorredor dobrável</t>
        </is>
      </c>
      <c r="G7" s="21" t="inlineStr">
        <is>
          <t>Veja o produto em uso</t>
        </is>
      </c>
    </row>
    <row r="8">
      <c r="A8" s="21" t="inlineStr">
        <is>
          <t>YouTube Shorts</t>
        </is>
      </c>
      <c r="B8" s="21" t="inlineStr">
        <is>
          <t>2 vídeos/semana</t>
        </is>
      </c>
      <c r="C8" s="21" t="inlineStr">
        <is>
          <t>Carro organizado</t>
        </is>
      </c>
      <c r="D8" s="21" t="inlineStr">
        <is>
          <t>Mostre interior bagunçado, aplicação e resultado</t>
        </is>
      </c>
      <c r="E8" s="21" t="inlineStr">
        <is>
          <t>Validar nicho automotivo leve</t>
        </is>
      </c>
      <c r="F8" s="21" t="inlineStr">
        <is>
          <t>Lixeira dobrável para carro</t>
        </is>
      </c>
      <c r="G8" s="21" t="inlineStr">
        <is>
          <t>Confira medidas e detalhes</t>
        </is>
      </c>
    </row>
    <row r="9">
      <c r="A9" s="21" t="inlineStr">
        <is>
          <t>TikTok</t>
        </is>
      </c>
      <c r="B9" s="21" t="inlineStr">
        <is>
          <t>2 vídeos/semana</t>
        </is>
      </c>
      <c r="C9" s="21" t="inlineStr">
        <is>
          <t>Produto sendo usado por pet</t>
        </is>
      </c>
      <c r="D9" s="21" t="inlineStr">
        <is>
          <t>Mostre o pet, o problema e o uso sem promessa veterinária</t>
        </is>
      </c>
      <c r="E9" s="21" t="inlineStr">
        <is>
          <t>Validar apelo emocional</t>
        </is>
      </c>
      <c r="F9" s="21" t="inlineStr">
        <is>
          <t>Bebedouro portátil</t>
        </is>
      </c>
      <c r="G9" s="21" t="inlineStr">
        <is>
          <t>Comente se seu pet usaria</t>
        </is>
      </c>
    </row>
  </sheetData>
  <autoFilter ref="A1:G9"/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7BECF"/>
    <outlinePr summaryBelow="1" summaryRight="1"/>
    <pageSetUpPr fitToPage="1"/>
  </sheetPr>
  <dimension ref="A1:G3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36" customWidth="1" min="4" max="4"/>
    <col width="34" customWidth="1" min="5" max="5"/>
    <col width="16" customWidth="1" min="6" max="6"/>
    <col width="10" customWidth="1" min="7" max="7"/>
  </cols>
  <sheetData>
    <row r="1">
      <c r="A1" s="24" t="inlineStr">
        <is>
          <t>Dia</t>
        </is>
      </c>
      <c r="B1" s="24" t="inlineStr">
        <is>
          <t>Objetivo</t>
        </is>
      </c>
      <c r="C1" s="24" t="inlineStr">
        <is>
          <t>Tarefas</t>
        </is>
      </c>
      <c r="D1" s="24" t="inlineStr">
        <is>
          <t>Entregável do dia</t>
        </is>
      </c>
      <c r="E1" s="24" t="inlineStr">
        <is>
          <t>Ferramentas</t>
        </is>
      </c>
      <c r="F1" s="24" t="inlineStr">
        <is>
          <t>Tempo estimado</t>
        </is>
      </c>
      <c r="G1" s="24" t="inlineStr">
        <is>
          <t>Status</t>
        </is>
      </c>
    </row>
    <row r="2">
      <c r="A2" s="37" t="n">
        <v>1</v>
      </c>
      <c r="B2" s="21" t="inlineStr">
        <is>
          <t>Definir nicho e posicionamento</t>
        </is>
      </c>
      <c r="C2" s="21" t="inlineStr">
        <is>
          <t>Pesquisar dores, concorrentes e demanda</t>
        </is>
      </c>
      <c r="D2" s="21" t="inlineStr">
        <is>
          <t>Lista de 10 ideias de produto</t>
        </is>
      </c>
      <c r="E2" s="21" t="inlineStr">
        <is>
          <t>Google Trends, TikTok, Instagram</t>
        </is>
      </c>
      <c r="F2" s="21" t="inlineStr">
        <is>
          <t>2h</t>
        </is>
      </c>
      <c r="G2" s="21" t="inlineStr">
        <is>
          <t>Pendente</t>
        </is>
      </c>
    </row>
    <row r="3">
      <c r="A3" s="37" t="n">
        <v>2</v>
      </c>
      <c r="B3" s="21" t="inlineStr">
        <is>
          <t>Selecionar produtos</t>
        </is>
      </c>
      <c r="C3" s="21" t="inlineStr">
        <is>
          <t>Filtrar produtos com utilidade clara e baixo risco</t>
        </is>
      </c>
      <c r="D3" s="21" t="inlineStr">
        <is>
          <t>5 produtos priorizados</t>
        </is>
      </c>
      <c r="E3" s="21" t="inlineStr">
        <is>
          <t>Planilha, marketplaces</t>
        </is>
      </c>
      <c r="F3" s="21" t="inlineStr">
        <is>
          <t>2h</t>
        </is>
      </c>
      <c r="G3" s="21" t="inlineStr">
        <is>
          <t>Pendente</t>
        </is>
      </c>
    </row>
    <row r="4">
      <c r="A4" s="37" t="n">
        <v>3</v>
      </c>
      <c r="B4" s="21" t="inlineStr">
        <is>
          <t>Escolher fornecedores</t>
        </is>
      </c>
      <c r="C4" s="21" t="inlineStr">
        <is>
          <t>Comparar Dropi, DSers, DropNacional e opções diretas</t>
        </is>
      </c>
      <c r="D4" s="21" t="inlineStr">
        <is>
          <t>Fornecedor preferido e alternativa</t>
        </is>
      </c>
      <c r="E4" s="21" t="inlineStr">
        <is>
          <t>Dropi, DSers, DropNacional</t>
        </is>
      </c>
      <c r="F4" s="21" t="inlineStr">
        <is>
          <t>2h</t>
        </is>
      </c>
      <c r="G4" s="21" t="inlineStr">
        <is>
          <t>Pendente</t>
        </is>
      </c>
    </row>
    <row r="5">
      <c r="A5" s="37" t="n">
        <v>4</v>
      </c>
      <c r="B5" s="21" t="inlineStr">
        <is>
          <t>Validar margem</t>
        </is>
      </c>
      <c r="C5" s="21" t="inlineStr">
        <is>
          <t>Calcular custo, frete, taxas, CPA máximo e reserva</t>
        </is>
      </c>
      <c r="D5" s="21" t="inlineStr">
        <is>
          <t>Tabela de margem por produto</t>
        </is>
      </c>
      <c r="E5" s="21" t="inlineStr">
        <is>
          <t>Aba Precificacao</t>
        </is>
      </c>
      <c r="F5" s="21" t="inlineStr">
        <is>
          <t>2h</t>
        </is>
      </c>
      <c r="G5" s="21" t="inlineStr">
        <is>
          <t>Pendente</t>
        </is>
      </c>
    </row>
    <row r="6">
      <c r="A6" s="37" t="n">
        <v>5</v>
      </c>
      <c r="B6" s="21" t="inlineStr">
        <is>
          <t>Comprar amostra</t>
        </is>
      </c>
      <c r="C6" s="21" t="inlineStr">
        <is>
          <t>Solicitar amostra do produto principal</t>
        </is>
      </c>
      <c r="D6" s="21" t="inlineStr">
        <is>
          <t>Pedido de amostra registrado</t>
        </is>
      </c>
      <c r="E6" s="21" t="inlineStr">
        <is>
          <t>Fornecedor</t>
        </is>
      </c>
      <c r="F6" s="21" t="inlineStr">
        <is>
          <t>1h</t>
        </is>
      </c>
      <c r="G6" s="21" t="inlineStr">
        <is>
          <t>Pendente</t>
        </is>
      </c>
    </row>
    <row r="7">
      <c r="A7" s="37" t="n">
        <v>6</v>
      </c>
      <c r="B7" s="21" t="inlineStr">
        <is>
          <t>Definir marca</t>
        </is>
      </c>
      <c r="C7" s="21" t="inlineStr">
        <is>
          <t>Nome, logo, paleta e tom de voz</t>
        </is>
      </c>
      <c r="D7" s="21" t="inlineStr">
        <is>
          <t>Branding básico</t>
        </is>
      </c>
      <c r="E7" s="21" t="inlineStr">
        <is>
          <t>Canva</t>
        </is>
      </c>
      <c r="F7" s="21" t="inlineStr">
        <is>
          <t>2h</t>
        </is>
      </c>
      <c r="G7" s="21" t="inlineStr">
        <is>
          <t>Pendente</t>
        </is>
      </c>
    </row>
    <row r="8">
      <c r="A8" s="37" t="n">
        <v>7</v>
      </c>
      <c r="B8" s="21" t="inlineStr">
        <is>
          <t>Montar estrutura da loja</t>
        </is>
      </c>
      <c r="C8" s="21" t="inlineStr">
        <is>
          <t>Criar conta, tema, menus e páginas principais</t>
        </is>
      </c>
      <c r="D8" s="21" t="inlineStr">
        <is>
          <t>Loja base pronta</t>
        </is>
      </c>
      <c r="E8" s="21" t="inlineStr">
        <is>
          <t>Nuvemshop/Shopify/Yampi</t>
        </is>
      </c>
      <c r="F8" s="21" t="inlineStr">
        <is>
          <t>3h</t>
        </is>
      </c>
      <c r="G8" s="21" t="inlineStr">
        <is>
          <t>Pendente</t>
        </is>
      </c>
    </row>
    <row r="9">
      <c r="A9" s="37" t="n">
        <v>8</v>
      </c>
      <c r="B9" s="21" t="inlineStr">
        <is>
          <t>Configurar pagamentos</t>
        </is>
      </c>
      <c r="C9" s="21" t="inlineStr">
        <is>
          <t>Ativar gateway, antifraude e dados de recebimento</t>
        </is>
      </c>
      <c r="D9" s="21" t="inlineStr">
        <is>
          <t>Checkout funcional</t>
        </is>
      </c>
      <c r="E9" s="21" t="inlineStr">
        <is>
          <t>Gateway de pagamento</t>
        </is>
      </c>
      <c r="F9" s="21" t="inlineStr">
        <is>
          <t>1h</t>
        </is>
      </c>
      <c r="G9" s="21" t="inlineStr">
        <is>
          <t>Pendente</t>
        </is>
      </c>
    </row>
    <row r="10">
      <c r="A10" s="37" t="n">
        <v>9</v>
      </c>
      <c r="B10" s="21" t="inlineStr">
        <is>
          <t>Criar políticas</t>
        </is>
      </c>
      <c r="C10" s="21" t="inlineStr">
        <is>
          <t>Troca, privacidade, termos e prazo de entrega</t>
        </is>
      </c>
      <c r="D10" s="21" t="inlineStr">
        <is>
          <t>Políticas publicadas</t>
        </is>
      </c>
      <c r="E10" s="21" t="inlineStr">
        <is>
          <t>Editor da loja</t>
        </is>
      </c>
      <c r="F10" s="21" t="inlineStr">
        <is>
          <t>2h</t>
        </is>
      </c>
      <c r="G10" s="21" t="inlineStr">
        <is>
          <t>Pendente</t>
        </is>
      </c>
    </row>
    <row r="11">
      <c r="A11" s="37" t="n">
        <v>10</v>
      </c>
      <c r="B11" s="21" t="inlineStr">
        <is>
          <t>Criar página de produto</t>
        </is>
      </c>
      <c r="C11" s="21" t="inlineStr">
        <is>
          <t>Texto, fotos, vídeo, preço, prazo e FAQ</t>
        </is>
      </c>
      <c r="D11" s="21" t="inlineStr">
        <is>
          <t>Página pronta</t>
        </is>
      </c>
      <c r="E11" s="21" t="inlineStr">
        <is>
          <t>Canva, CapCut, loja</t>
        </is>
      </c>
      <c r="F11" s="21" t="inlineStr">
        <is>
          <t>3h</t>
        </is>
      </c>
      <c r="G11" s="21" t="inlineStr">
        <is>
          <t>Pendente</t>
        </is>
      </c>
    </row>
    <row r="12">
      <c r="A12" s="37" t="n">
        <v>11</v>
      </c>
      <c r="B12" s="21" t="inlineStr">
        <is>
          <t>Criar criativos</t>
        </is>
      </c>
      <c r="C12" s="21" t="inlineStr">
        <is>
          <t>Produzir vídeos curtos e variações de gancho</t>
        </is>
      </c>
      <c r="D12" s="21" t="inlineStr">
        <is>
          <t>3 a 5 criativos</t>
        </is>
      </c>
      <c r="E12" s="21" t="inlineStr">
        <is>
          <t>CapCut</t>
        </is>
      </c>
      <c r="F12" s="21" t="inlineStr">
        <is>
          <t>3h</t>
        </is>
      </c>
      <c r="G12" s="21" t="inlineStr">
        <is>
          <t>Pendente</t>
        </is>
      </c>
    </row>
    <row r="13">
      <c r="A13" s="37" t="n">
        <v>12</v>
      </c>
      <c r="B13" s="21" t="inlineStr">
        <is>
          <t>Configurar pixel</t>
        </is>
      </c>
      <c r="C13" s="21" t="inlineStr">
        <is>
          <t>Instalar eventos e testar tracking</t>
        </is>
      </c>
      <c r="D13" s="21" t="inlineStr">
        <is>
          <t>Pixel funcionando</t>
        </is>
      </c>
      <c r="E13" s="21" t="inlineStr">
        <is>
          <t>Meta Ads, TikTok Ads</t>
        </is>
      </c>
      <c r="F13" s="21" t="inlineStr">
        <is>
          <t>1h</t>
        </is>
      </c>
      <c r="G13" s="21" t="inlineStr">
        <is>
          <t>Pendente</t>
        </is>
      </c>
    </row>
    <row r="14">
      <c r="A14" s="37" t="n">
        <v>13</v>
      </c>
      <c r="B14" s="21" t="inlineStr">
        <is>
          <t>Publicar conteúdo orgânico</t>
        </is>
      </c>
      <c r="C14" s="21" t="inlineStr">
        <is>
          <t>Postar primeiros vídeos e coletar sinais</t>
        </is>
      </c>
      <c r="D14" s="21" t="inlineStr">
        <is>
          <t>Conteúdo publicado</t>
        </is>
      </c>
      <c r="E14" s="21" t="inlineStr">
        <is>
          <t>TikTok, Reels, Shorts</t>
        </is>
      </c>
      <c r="F14" s="21" t="inlineStr">
        <is>
          <t>2h</t>
        </is>
      </c>
      <c r="G14" s="21" t="inlineStr">
        <is>
          <t>Pendente</t>
        </is>
      </c>
    </row>
    <row r="15">
      <c r="A15" s="37" t="n">
        <v>14</v>
      </c>
      <c r="B15" s="21" t="inlineStr">
        <is>
          <t>Criar campanha pequena</t>
        </is>
      </c>
      <c r="C15" s="21" t="inlineStr">
        <is>
          <t>Abrir teste com orçamento controlado</t>
        </is>
      </c>
      <c r="D15" s="21" t="inlineStr">
        <is>
          <t>Campanha ativa</t>
        </is>
      </c>
      <c r="E15" s="21" t="inlineStr">
        <is>
          <t>Meta Ads, TikTok Ads</t>
        </is>
      </c>
      <c r="F15" s="21" t="inlineStr">
        <is>
          <t>2h</t>
        </is>
      </c>
      <c r="G15" s="21" t="inlineStr">
        <is>
          <t>Pendente</t>
        </is>
      </c>
    </row>
    <row r="16">
      <c r="A16" s="37" t="n">
        <v>15</v>
      </c>
      <c r="B16" s="21" t="inlineStr">
        <is>
          <t>Analisar dados iniciais</t>
        </is>
      </c>
      <c r="C16" s="21" t="inlineStr">
        <is>
          <t>Ver CTR, CPC, retenção, checkout e conversão</t>
        </is>
      </c>
      <c r="D16" s="21" t="inlineStr">
        <is>
          <t>Resumo da primeira semana</t>
        </is>
      </c>
      <c r="E16" s="21" t="inlineStr">
        <is>
          <t>Analytics, Ads</t>
        </is>
      </c>
      <c r="F16" s="21" t="inlineStr">
        <is>
          <t>2h</t>
        </is>
      </c>
      <c r="G16" s="21" t="inlineStr">
        <is>
          <t>Pendente</t>
        </is>
      </c>
    </row>
    <row r="17">
      <c r="A17" s="37" t="n">
        <v>16</v>
      </c>
      <c r="B17" s="21" t="inlineStr">
        <is>
          <t>Ajustar criativos</t>
        </is>
      </c>
      <c r="C17" s="21" t="inlineStr">
        <is>
          <t>Trocar ganchos e formatos fracos</t>
        </is>
      </c>
      <c r="D17" s="21" t="inlineStr">
        <is>
          <t>Criativos novos</t>
        </is>
      </c>
      <c r="E17" s="21" t="inlineStr">
        <is>
          <t>CapCut</t>
        </is>
      </c>
      <c r="F17" s="21" t="inlineStr">
        <is>
          <t>2h</t>
        </is>
      </c>
      <c r="G17" s="21" t="inlineStr">
        <is>
          <t>Pendente</t>
        </is>
      </c>
    </row>
    <row r="18">
      <c r="A18" s="37" t="n">
        <v>17</v>
      </c>
      <c r="B18" s="21" t="inlineStr">
        <is>
          <t>Ajustar oferta</t>
        </is>
      </c>
      <c r="C18" s="21" t="inlineStr">
        <is>
          <t>Revisar CTA, preço, frete e prova social</t>
        </is>
      </c>
      <c r="D18" s="21" t="inlineStr">
        <is>
          <t>Oferta mais clara</t>
        </is>
      </c>
      <c r="E18" s="21" t="inlineStr">
        <is>
          <t>Loja</t>
        </is>
      </c>
      <c r="F18" s="21" t="inlineStr">
        <is>
          <t>2h</t>
        </is>
      </c>
      <c r="G18" s="21" t="inlineStr">
        <is>
          <t>Pendente</t>
        </is>
      </c>
    </row>
    <row r="19">
      <c r="A19" s="37" t="n">
        <v>18</v>
      </c>
      <c r="B19" s="21" t="inlineStr">
        <is>
          <t>Validar atendimento</t>
        </is>
      </c>
      <c r="C19" s="21" t="inlineStr">
        <is>
          <t>Testar WhatsApp, e-mail e respostas rápidas</t>
        </is>
      </c>
      <c r="D19" s="21" t="inlineStr">
        <is>
          <t>Fluxo de atendimento pronto</t>
        </is>
      </c>
      <c r="E19" s="21" t="inlineStr">
        <is>
          <t>WhatsApp Business</t>
        </is>
      </c>
      <c r="F19" s="21" t="inlineStr">
        <is>
          <t>1h</t>
        </is>
      </c>
      <c r="G19" s="21" t="inlineStr">
        <is>
          <t>Pendente</t>
        </is>
      </c>
    </row>
    <row r="20">
      <c r="A20" s="37" t="n">
        <v>19</v>
      </c>
      <c r="B20" s="21" t="inlineStr">
        <is>
          <t>Testar checkout</t>
        </is>
      </c>
      <c r="C20" s="21" t="inlineStr">
        <is>
          <t>Fazer pedido real e revisar todo o fluxo</t>
        </is>
      </c>
      <c r="D20" s="21" t="inlineStr">
        <is>
          <t>Checkout validado</t>
        </is>
      </c>
      <c r="E20" s="21" t="inlineStr">
        <is>
          <t>Loja</t>
        </is>
      </c>
      <c r="F20" s="21" t="inlineStr">
        <is>
          <t>1h</t>
        </is>
      </c>
      <c r="G20" s="21" t="inlineStr">
        <is>
          <t>Pendente</t>
        </is>
      </c>
    </row>
    <row r="21">
      <c r="A21" s="37" t="n">
        <v>20</v>
      </c>
      <c r="B21" s="21" t="inlineStr">
        <is>
          <t>Revisar logística</t>
        </is>
      </c>
      <c r="C21" s="21" t="inlineStr">
        <is>
          <t>Confirmar prazo, rastreio, embalagem e exceções</t>
        </is>
      </c>
      <c r="D21" s="21" t="inlineStr">
        <is>
          <t>Checklist de logística</t>
        </is>
      </c>
      <c r="E21" s="21" t="inlineStr">
        <is>
          <t>Fornecedor</t>
        </is>
      </c>
      <c r="F21" s="21" t="inlineStr">
        <is>
          <t>2h</t>
        </is>
      </c>
      <c r="G21" s="21" t="inlineStr">
        <is>
          <t>Pendente</t>
        </is>
      </c>
    </row>
    <row r="22">
      <c r="A22" s="37" t="n">
        <v>21</v>
      </c>
      <c r="B22" s="21" t="inlineStr">
        <is>
          <t>Criar reserva</t>
        </is>
      </c>
      <c r="C22" s="21" t="inlineStr">
        <is>
          <t>Separar reserva para reembolso e problemas</t>
        </is>
      </c>
      <c r="D22" s="21" t="inlineStr">
        <is>
          <t>Valor reservado</t>
        </is>
      </c>
      <c r="E22" s="21" t="inlineStr">
        <is>
          <t>Planilha financeira</t>
        </is>
      </c>
      <c r="F22" s="21" t="inlineStr">
        <is>
          <t>1h</t>
        </is>
      </c>
      <c r="G22" s="21" t="inlineStr">
        <is>
          <t>Pendente</t>
        </is>
      </c>
    </row>
    <row r="23">
      <c r="A23" s="37" t="n">
        <v>22</v>
      </c>
      <c r="B23" s="21" t="inlineStr">
        <is>
          <t>Escalar com cuidado</t>
        </is>
      </c>
      <c r="C23" s="21" t="inlineStr">
        <is>
          <t>Aumentar orçamento apenas no que tem margem</t>
        </is>
      </c>
      <c r="D23" s="21" t="inlineStr">
        <is>
          <t>Orçamento ajustado</t>
        </is>
      </c>
      <c r="E23" s="21" t="inlineStr">
        <is>
          <t>Anúncios</t>
        </is>
      </c>
      <c r="F23" s="21" t="inlineStr">
        <is>
          <t>2h</t>
        </is>
      </c>
      <c r="G23" s="21" t="inlineStr">
        <is>
          <t>Pendente</t>
        </is>
      </c>
    </row>
    <row r="24">
      <c r="A24" s="37" t="n">
        <v>23</v>
      </c>
      <c r="B24" s="21" t="inlineStr">
        <is>
          <t>Analisar margem real</t>
        </is>
      </c>
      <c r="C24" s="21" t="inlineStr">
        <is>
          <t>Comparar lucro real com projeção</t>
        </is>
      </c>
      <c r="D24" s="21" t="inlineStr">
        <is>
          <t>Relatório de margem</t>
        </is>
      </c>
      <c r="E24" s="21" t="inlineStr">
        <is>
          <t>Aba Financeiro</t>
        </is>
      </c>
      <c r="F24" s="21" t="inlineStr">
        <is>
          <t>2h</t>
        </is>
      </c>
      <c r="G24" s="21" t="inlineStr">
        <is>
          <t>Pendente</t>
        </is>
      </c>
    </row>
    <row r="25">
      <c r="A25" s="37" t="n">
        <v>24</v>
      </c>
      <c r="B25" s="21" t="inlineStr">
        <is>
          <t>Ajustar frete e prazo</t>
        </is>
      </c>
      <c r="C25" s="21" t="inlineStr">
        <is>
          <t>Revisar promessa de entrega e custo</t>
        </is>
      </c>
      <c r="D25" s="21" t="inlineStr">
        <is>
          <t>Frete ajustado</t>
        </is>
      </c>
      <c r="E25" s="21" t="inlineStr">
        <is>
          <t>Fornecedor, loja</t>
        </is>
      </c>
      <c r="F25" s="21" t="inlineStr">
        <is>
          <t>2h</t>
        </is>
      </c>
      <c r="G25" s="21" t="inlineStr">
        <is>
          <t>Pendente</t>
        </is>
      </c>
    </row>
    <row r="26">
      <c r="A26" s="37" t="n">
        <v>25</v>
      </c>
      <c r="B26" s="21" t="inlineStr">
        <is>
          <t>Criar mais conteúdo</t>
        </is>
      </c>
      <c r="C26" s="21" t="inlineStr">
        <is>
          <t>Publicar novos vídeos do melhor ângulo</t>
        </is>
      </c>
      <c r="D26" s="21" t="inlineStr">
        <is>
          <t>Novos conteúdos</t>
        </is>
      </c>
      <c r="E26" s="21" t="inlineStr">
        <is>
          <t>TikTok, Reels</t>
        </is>
      </c>
      <c r="F26" s="21" t="inlineStr">
        <is>
          <t>2h</t>
        </is>
      </c>
      <c r="G26" s="21" t="inlineStr">
        <is>
          <t>Pendente</t>
        </is>
      </c>
    </row>
    <row r="27">
      <c r="A27" s="37" t="n">
        <v>26</v>
      </c>
      <c r="B27" s="21" t="inlineStr">
        <is>
          <t>Revisar reputação</t>
        </is>
      </c>
      <c r="C27" s="21" t="inlineStr">
        <is>
          <t>Checar reclamações, mensagens e atrasos</t>
        </is>
      </c>
      <c r="D27" s="21" t="inlineStr">
        <is>
          <t>Plano de resposta</t>
        </is>
      </c>
      <c r="E27" s="21" t="inlineStr">
        <is>
          <t>Loja, atendimento</t>
        </is>
      </c>
      <c r="F27" s="21" t="inlineStr">
        <is>
          <t>2h</t>
        </is>
      </c>
      <c r="G27" s="21" t="inlineStr">
        <is>
          <t>Pendente</t>
        </is>
      </c>
    </row>
    <row r="28">
      <c r="A28" s="37" t="n">
        <v>27</v>
      </c>
      <c r="B28" s="21" t="inlineStr">
        <is>
          <t>Testar produto relacionado</t>
        </is>
      </c>
      <c r="C28" s="21" t="inlineStr">
        <is>
          <t>Adicionar item complementar com baixo risco</t>
        </is>
      </c>
      <c r="D28" s="21" t="inlineStr">
        <is>
          <t>Novo teste preparado</t>
        </is>
      </c>
      <c r="E28" s="21" t="inlineStr">
        <is>
          <t>Fornecedor, loja</t>
        </is>
      </c>
      <c r="F28" s="21" t="inlineStr">
        <is>
          <t>2h</t>
        </is>
      </c>
      <c r="G28" s="21" t="inlineStr">
        <is>
          <t>Pendente</t>
        </is>
      </c>
    </row>
    <row r="29">
      <c r="A29" s="37" t="n">
        <v>28</v>
      </c>
      <c r="B29" s="21" t="inlineStr">
        <is>
          <t>Avaliar pedidos</t>
        </is>
      </c>
      <c r="C29" s="21" t="inlineStr">
        <is>
          <t>Ver volume, prazo, satisfação e suporte</t>
        </is>
      </c>
      <c r="D29" s="21" t="inlineStr">
        <is>
          <t>Resumo operacional</t>
        </is>
      </c>
      <c r="E29" s="21" t="inlineStr">
        <is>
          <t>Analytics, planilha</t>
        </is>
      </c>
      <c r="F29" s="21" t="inlineStr">
        <is>
          <t>2h</t>
        </is>
      </c>
      <c r="G29" s="21" t="inlineStr">
        <is>
          <t>Pendente</t>
        </is>
      </c>
    </row>
    <row r="30">
      <c r="A30" s="37" t="n">
        <v>29</v>
      </c>
      <c r="B30" s="21" t="inlineStr">
        <is>
          <t>Repetir melhor criativo</t>
        </is>
      </c>
      <c r="C30" s="21" t="inlineStr">
        <is>
          <t>Escalar criativo vencedor com variações</t>
        </is>
      </c>
      <c r="D30" s="21" t="inlineStr">
        <is>
          <t>Criativo vencedor replicado</t>
        </is>
      </c>
      <c r="E30" s="21" t="inlineStr">
        <is>
          <t>CapCut, Ads</t>
        </is>
      </c>
      <c r="F30" s="21" t="inlineStr">
        <is>
          <t>2h</t>
        </is>
      </c>
      <c r="G30" s="21" t="inlineStr">
        <is>
          <t>Pendente</t>
        </is>
      </c>
    </row>
    <row r="31">
      <c r="A31" s="37" t="n">
        <v>30</v>
      </c>
      <c r="B31" s="21" t="inlineStr">
        <is>
          <t>Revisão final</t>
        </is>
      </c>
      <c r="C31" s="21" t="inlineStr">
        <is>
          <t>Decidir continuar, pausar ou trocar produto</t>
        </is>
      </c>
      <c r="D31" s="21" t="inlineStr">
        <is>
          <t>Decisão de continuidade</t>
        </is>
      </c>
      <c r="E31" s="21" t="inlineStr">
        <is>
          <t>Planilha e métricas</t>
        </is>
      </c>
      <c r="F31" s="21" t="inlineStr">
        <is>
          <t>2h</t>
        </is>
      </c>
      <c r="G31" s="21" t="inlineStr">
        <is>
          <t>Pendente</t>
        </is>
      </c>
    </row>
  </sheetData>
  <autoFilter ref="A1:G31"/>
  <conditionalFormatting sqref="G2:G31">
    <cfRule type="expression" priority="1" dxfId="0">
      <formula>=$G2="Feito"</formula>
    </cfRule>
    <cfRule type="expression" priority="2" dxfId="2">
      <formula>=$G2="Bloqueado"</formula>
    </cfRule>
  </conditionalFormatting>
  <dataValidations count="1">
    <dataValidation sqref="G2:G31" showDropDown="0" showInputMessage="0" showErrorMessage="0" allowBlank="0" errorTitle="Valor inválido" error="Escolha uma opção da lista." promptTitle="Opções" prompt="Escolha: Pendente, Em andamento, Feito ou Bloqueado." type="list">
      <formula1>"Pendente,Em andamento,Feito,Bloqueado"</formula1>
    </dataValidation>
  </dataValidations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8C564B"/>
    <outlinePr summaryBelow="1" summaryRight="1"/>
    <pageSetUpPr fitToPage="1"/>
  </sheetPr>
  <dimension ref="A1:G1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  <col width="42" customWidth="1" min="5" max="5"/>
    <col width="11" customWidth="1" min="6" max="6"/>
    <col width="15" customWidth="1" min="7" max="7"/>
  </cols>
  <sheetData>
    <row r="1">
      <c r="A1" s="24" t="inlineStr">
        <is>
          <t>Problema</t>
        </is>
      </c>
      <c r="B1" s="24" t="inlineStr">
        <is>
          <t>Causa</t>
        </is>
      </c>
      <c r="C1" s="24" t="inlineStr">
        <is>
          <t>Consequência</t>
        </is>
      </c>
      <c r="D1" s="24" t="inlineStr">
        <is>
          <t>Como prevenir</t>
        </is>
      </c>
      <c r="E1" s="24" t="inlineStr">
        <is>
          <t>Como resolver</t>
        </is>
      </c>
      <c r="F1" s="24" t="inlineStr">
        <is>
          <t>Gravidade</t>
        </is>
      </c>
      <c r="G1" s="24" t="inlineStr">
        <is>
          <t>Probabilidade</t>
        </is>
      </c>
    </row>
    <row r="2">
      <c r="A2" s="21" t="inlineStr">
        <is>
          <t>Atraso na entrega</t>
        </is>
      </c>
      <c r="B2" s="21" t="inlineStr">
        <is>
          <t>Fornecedor lento ou logística instável</t>
        </is>
      </c>
      <c r="C2" s="21" t="inlineStr">
        <is>
          <t>Cliente insatisfeito e pedido de reembolso</t>
        </is>
      </c>
      <c r="D2" s="21" t="inlineStr">
        <is>
          <t>Validar prazo realista e ter rastreio</t>
        </is>
      </c>
      <c r="E2" s="21" t="inlineStr">
        <is>
          <t>Comunicar rápido, oferecer solução e revisar fornecedor</t>
        </is>
      </c>
      <c r="F2" s="21" t="inlineStr">
        <is>
          <t>Alta</t>
        </is>
      </c>
      <c r="G2" s="21" t="inlineStr">
        <is>
          <t>Média</t>
        </is>
      </c>
    </row>
    <row r="3">
      <c r="A3" s="21" t="inlineStr">
        <is>
          <t>Fornecedor ruim</t>
        </is>
      </c>
      <c r="B3" s="21" t="inlineStr">
        <is>
          <t>Baixa qualidade ou falta de estoque</t>
        </is>
      </c>
      <c r="C3" s="21" t="inlineStr">
        <is>
          <t>Reembolso, reclamação e perda de margem</t>
        </is>
      </c>
      <c r="D3" s="21" t="inlineStr">
        <is>
          <t>Comprar amostra e checar reputação</t>
        </is>
      </c>
      <c r="E3" s="21" t="inlineStr">
        <is>
          <t>Trocar fornecedor e pausar anúncio</t>
        </is>
      </c>
      <c r="F3" s="21" t="inlineStr">
        <is>
          <t>Alta</t>
        </is>
      </c>
      <c r="G3" s="21" t="inlineStr">
        <is>
          <t>Média</t>
        </is>
      </c>
    </row>
    <row r="4">
      <c r="A4" s="21" t="inlineStr">
        <is>
          <t>Produto de baixa qualidade</t>
        </is>
      </c>
      <c r="B4" s="21" t="inlineStr">
        <is>
          <t>Material frágil ou acabamento ruim</t>
        </is>
      </c>
      <c r="C4" s="21" t="inlineStr">
        <is>
          <t>Devolução e reclamação pública</t>
        </is>
      </c>
      <c r="D4" s="21" t="inlineStr">
        <is>
          <t>Validar amostra e avaliações reais</t>
        </is>
      </c>
      <c r="E4" s="21" t="inlineStr">
        <is>
          <t>Substituir produto e atender cliente</t>
        </is>
      </c>
      <c r="F4" s="21" t="inlineStr">
        <is>
          <t>Alta</t>
        </is>
      </c>
      <c r="G4" s="21" t="inlineStr">
        <is>
          <t>Média</t>
        </is>
      </c>
    </row>
    <row r="5">
      <c r="A5" s="21" t="inlineStr">
        <is>
          <t>Chargeback</t>
        </is>
      </c>
      <c r="B5" s="21" t="inlineStr">
        <is>
          <t>Pedido contestado ou atendimento ruim</t>
        </is>
      </c>
      <c r="C5" s="21" t="inlineStr">
        <is>
          <t>Perda financeira e risco no gateway</t>
        </is>
      </c>
      <c r="D5" s="21" t="inlineStr">
        <is>
          <t>Políticas claras, comprovantes e rastreio</t>
        </is>
      </c>
      <c r="E5" s="21" t="inlineStr">
        <is>
          <t>Responder com evidências e melhorar comunicação</t>
        </is>
      </c>
      <c r="F5" s="21" t="inlineStr">
        <is>
          <t>Alta</t>
        </is>
      </c>
      <c r="G5" s="21" t="inlineStr">
        <is>
          <t>Média</t>
        </is>
      </c>
    </row>
    <row r="6">
      <c r="A6" s="21" t="inlineStr">
        <is>
          <t>Reembolso</t>
        </is>
      </c>
      <c r="B6" s="21" t="inlineStr">
        <is>
          <t>Cliente insatisfeito, atraso ou defeito</t>
        </is>
      </c>
      <c r="C6" s="21" t="inlineStr">
        <is>
          <t>Erosão de margem</t>
        </is>
      </c>
      <c r="D6" s="21" t="inlineStr">
        <is>
          <t>Manter reserva e prazo transparente</t>
        </is>
      </c>
      <c r="E6" s="21" t="inlineStr">
        <is>
          <t>Aplicar política de forma justa</t>
        </is>
      </c>
      <c r="F6" s="21" t="inlineStr">
        <is>
          <t>Média</t>
        </is>
      </c>
      <c r="G6" s="21" t="inlineStr">
        <is>
          <t>Alta</t>
        </is>
      </c>
    </row>
    <row r="7">
      <c r="A7" s="21" t="inlineStr">
        <is>
          <t>Cliente insatisfeito</t>
        </is>
      </c>
      <c r="B7" s="21" t="inlineStr">
        <is>
          <t>Falta de informação ou expectativa errada</t>
        </is>
      </c>
      <c r="C7" s="21" t="inlineStr">
        <is>
          <t>Reclamação pública e queda de confiança</t>
        </is>
      </c>
      <c r="D7" s="21" t="inlineStr">
        <is>
          <t>Texto claro e atendimento em até 24h</t>
        </is>
      </c>
      <c r="E7" s="21" t="inlineStr">
        <is>
          <t>Responder com empatia e solução objetiva</t>
        </is>
      </c>
      <c r="F7" s="21" t="inlineStr">
        <is>
          <t>Alta</t>
        </is>
      </c>
      <c r="G7" s="21" t="inlineStr">
        <is>
          <t>Média</t>
        </is>
      </c>
    </row>
    <row r="8">
      <c r="A8" s="21" t="inlineStr">
        <is>
          <t>Conta de anúncio bloqueada</t>
        </is>
      </c>
      <c r="B8" s="21" t="inlineStr">
        <is>
          <t>Promessa exagerada ou política violada</t>
        </is>
      </c>
      <c r="C8" s="21" t="inlineStr">
        <is>
          <t>Parada de tráfego</t>
        </is>
      </c>
      <c r="D8" s="21" t="inlineStr">
        <is>
          <t>Evitar claims sensíveis e revisar regras</t>
        </is>
      </c>
      <c r="E8" s="21" t="inlineStr">
        <is>
          <t>Reformular criativos e recorrer se aplicável</t>
        </is>
      </c>
      <c r="F8" s="21" t="inlineStr">
        <is>
          <t>Alta</t>
        </is>
      </c>
      <c r="G8" s="21" t="inlineStr">
        <is>
          <t>Baixa</t>
        </is>
      </c>
    </row>
    <row r="9">
      <c r="A9" s="21" t="inlineStr">
        <is>
          <t>Produto saturado</t>
        </is>
      </c>
      <c r="B9" s="21" t="inlineStr">
        <is>
          <t>Concorrência alta e criativos iguais</t>
        </is>
      </c>
      <c r="C9" s="21" t="inlineStr">
        <is>
          <t>CPC alto e baixa conversão</t>
        </is>
      </c>
      <c r="D9" s="21" t="inlineStr">
        <is>
          <t>Testar ângulos e produtos relacionados</t>
        </is>
      </c>
      <c r="E9" s="21" t="inlineStr">
        <is>
          <t>Trocar oferta ou produto</t>
        </is>
      </c>
      <c r="F9" s="21" t="inlineStr">
        <is>
          <t>Média</t>
        </is>
      </c>
      <c r="G9" s="21" t="inlineStr">
        <is>
          <t>Média</t>
        </is>
      </c>
    </row>
    <row r="10">
      <c r="A10" s="21" t="inlineStr">
        <is>
          <t>Margem baixa</t>
        </is>
      </c>
      <c r="B10" s="21" t="inlineStr">
        <is>
          <t>Frete, taxas e CPA acima do planejado</t>
        </is>
      </c>
      <c r="C10" s="21" t="inlineStr">
        <is>
          <t>Negócio sem lucro</t>
        </is>
      </c>
      <c r="D10" s="21" t="inlineStr">
        <is>
          <t>Calcular margem antes de anunciar</t>
        </is>
      </c>
      <c r="E10" s="21" t="inlineStr">
        <is>
          <t>Ajustar preço, oferta, fornecedor ou pausar</t>
        </is>
      </c>
      <c r="F10" s="21" t="inlineStr">
        <is>
          <t>Alta</t>
        </is>
      </c>
      <c r="G10" s="21" t="inlineStr">
        <is>
          <t>Alta</t>
        </is>
      </c>
    </row>
    <row r="11">
      <c r="A11" s="21" t="inlineStr">
        <is>
          <t>Reclamação pública</t>
        </is>
      </c>
      <c r="B11" s="21" t="inlineStr">
        <is>
          <t>Atendimento lento ou promessa não cumprida</t>
        </is>
      </c>
      <c r="C11" s="21" t="inlineStr">
        <is>
          <t>Dano reputacional</t>
        </is>
      </c>
      <c r="D11" s="21" t="inlineStr">
        <is>
          <t>Responder rápido e documentar tudo</t>
        </is>
      </c>
      <c r="E11" s="21" t="inlineStr">
        <is>
          <t>Resolver com transparência e aprendizado</t>
        </is>
      </c>
      <c r="F11" s="21" t="inlineStr">
        <is>
          <t>Alta</t>
        </is>
      </c>
      <c r="G11" s="21" t="inlineStr">
        <is>
          <t>Média</t>
        </is>
      </c>
    </row>
    <row r="12">
      <c r="A12" s="21" t="inlineStr">
        <is>
          <t>Problemas com importação</t>
        </is>
      </c>
      <c r="B12" s="21" t="inlineStr">
        <is>
          <t>Mercadoria internacional, taxa ou retenção</t>
        </is>
      </c>
      <c r="C12" s="21" t="inlineStr">
        <is>
          <t>Atraso, custo extra ou cancelamento</t>
        </is>
      </c>
      <c r="D12" s="21" t="inlineStr">
        <is>
          <t>Preferir fornecedor nacional no começo</t>
        </is>
      </c>
      <c r="E12" s="21" t="inlineStr">
        <is>
          <t>Usar alternativa nacional e informar cliente</t>
        </is>
      </c>
      <c r="F12" s="21" t="inlineStr">
        <is>
          <t>Alta</t>
        </is>
      </c>
      <c r="G12" s="21" t="inlineStr">
        <is>
          <t>Média</t>
        </is>
      </c>
    </row>
    <row r="13">
      <c r="A13" s="21" t="inlineStr">
        <is>
          <t>Produto proibido</t>
        </is>
      </c>
      <c r="B13" s="21" t="inlineStr">
        <is>
          <t>Categoria restrita ou sem autorização</t>
        </is>
      </c>
      <c r="C13" s="21" t="inlineStr">
        <is>
          <t>Bloqueio, multa ou risco legal</t>
        </is>
      </c>
      <c r="D13" s="21" t="inlineStr">
        <is>
          <t>Validar categoria antes de vender</t>
        </is>
      </c>
      <c r="E13" s="21" t="inlineStr">
        <is>
          <t>Parar venda e buscar orientação</t>
        </is>
      </c>
      <c r="F13" s="21" t="inlineStr">
        <is>
          <t>Alta</t>
        </is>
      </c>
      <c r="G13" s="21" t="inlineStr">
        <is>
          <t>Baixa</t>
        </is>
      </c>
    </row>
    <row r="14">
      <c r="A14" s="21" t="inlineStr">
        <is>
          <t>Falta de suporte</t>
        </is>
      </c>
      <c r="B14" s="21" t="inlineStr">
        <is>
          <t>Operação sem rotina</t>
        </is>
      </c>
      <c r="C14" s="21" t="inlineStr">
        <is>
          <t>Cliente sem resposta</t>
        </is>
      </c>
      <c r="D14" s="21" t="inlineStr">
        <is>
          <t>SLA e respostas rápidas</t>
        </is>
      </c>
      <c r="E14" s="21" t="inlineStr">
        <is>
          <t>Criar rotina diária e canal oficial</t>
        </is>
      </c>
      <c r="F14" s="21" t="inlineStr">
        <is>
          <t>Média</t>
        </is>
      </c>
      <c r="G14" s="21" t="inlineStr">
        <is>
          <t>Média</t>
        </is>
      </c>
    </row>
    <row r="15">
      <c r="A15" s="21" t="inlineStr">
        <is>
          <t>Loja com aparência amadora</t>
        </is>
      </c>
      <c r="B15" s="21" t="inlineStr">
        <is>
          <t>Design, texto e checkout fracos</t>
        </is>
      </c>
      <c r="C15" s="21" t="inlineStr">
        <is>
          <t>Perda de confiança e baixa conversão</t>
        </is>
      </c>
      <c r="D15" s="21" t="inlineStr">
        <is>
          <t>Tema limpo, fotos reais e políticas claras</t>
        </is>
      </c>
      <c r="E15" s="21" t="inlineStr">
        <is>
          <t>Revisar página e teste de compra</t>
        </is>
      </c>
      <c r="F15" s="21" t="inlineStr">
        <is>
          <t>Média</t>
        </is>
      </c>
      <c r="G15" s="21" t="inlineStr">
        <is>
          <t>Alta</t>
        </is>
      </c>
    </row>
    <row r="16">
      <c r="A16" s="21" t="inlineStr">
        <is>
          <t>Falta de capital de giro</t>
        </is>
      </c>
      <c r="B16" s="21" t="inlineStr">
        <is>
          <t>Crescimento sem reserva</t>
        </is>
      </c>
      <c r="C16" s="21" t="inlineStr">
        <is>
          <t>Pedidos atrasados e pausa forçada</t>
        </is>
      </c>
      <c r="D16" s="21" t="inlineStr">
        <is>
          <t>Separar caixa e reserva de reembolso</t>
        </is>
      </c>
      <c r="E16" s="21" t="inlineStr">
        <is>
          <t>Reduzir escala e reorganizar fluxo de caixa</t>
        </is>
      </c>
      <c r="F16" s="21" t="inlineStr">
        <is>
          <t>Alta</t>
        </is>
      </c>
      <c r="G16" s="21" t="inlineStr">
        <is>
          <t>Média</t>
        </is>
      </c>
    </row>
  </sheetData>
  <autoFilter ref="A1:G16"/>
  <conditionalFormatting sqref="F2:G16">
    <cfRule type="expression" priority="1" dxfId="0">
      <formula>=F2="Baixa"</formula>
    </cfRule>
    <cfRule type="expression" priority="2" dxfId="1">
      <formula>=F2="Média"</formula>
    </cfRule>
    <cfRule type="expression" priority="3" dxfId="2">
      <formula>=F2="Alta"</formula>
    </cfRule>
  </conditionalFormatting>
  <dataValidations count="1">
    <dataValidation sqref="F2:G16" showDropDown="0" showInputMessage="0" showErrorMessage="0" allowBlank="1" errorTitle="Valor inválido" error="Escolha uma opção da lista." type="list">
      <formula1>"Baixa,Média,Alta"</formula1>
    </dataValidation>
  </dataValidations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1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24" t="inlineStr">
        <is>
          <t>Tema</t>
        </is>
      </c>
      <c r="B1" s="24" t="inlineStr">
        <is>
          <t>Explicação simples</t>
        </is>
      </c>
      <c r="C1" s="24" t="inlineStr">
        <is>
          <t>O que fazer</t>
        </is>
      </c>
      <c r="D1" s="24" t="inlineStr">
        <is>
          <t>Risco se ignorar</t>
        </is>
      </c>
      <c r="E1" s="24" t="inlineStr">
        <is>
          <t>Fonte ou validação</t>
        </is>
      </c>
    </row>
    <row r="2">
      <c r="A2" s="21" t="inlineStr">
        <is>
          <t>CDC</t>
        </is>
      </c>
      <c r="B2" s="21" t="inlineStr">
        <is>
          <t>As regras do Código de Defesa do Consumidor se aplicam ao e-commerce.</t>
        </is>
      </c>
      <c r="C2" s="21" t="inlineStr">
        <is>
          <t>Ter políticas claras, atendimento e registros.</t>
        </is>
      </c>
      <c r="D2" s="21" t="inlineStr">
        <is>
          <t>Reclamações, sanções e perda de confiança.</t>
        </is>
      </c>
      <c r="E2" s="21" t="inlineStr">
        <is>
          <t>Validar com contador, advogado ou fonte oficial.</t>
        </is>
      </c>
    </row>
    <row r="3">
      <c r="A3" s="21" t="inlineStr">
        <is>
          <t>Direito de arrependimento</t>
        </is>
      </c>
      <c r="B3" s="21" t="inlineStr">
        <is>
          <t>Compras online têm regra de desistência em prazo legal.</t>
        </is>
      </c>
      <c r="C3" s="21" t="inlineStr">
        <is>
          <t>Informar procedimento de devolução e contato.</t>
        </is>
      </c>
      <c r="D3" s="21" t="inlineStr">
        <is>
          <t>Conflito com cliente e órgãos de defesa.</t>
        </is>
      </c>
      <c r="E3" s="21" t="inlineStr">
        <is>
          <t>Validar com fonte oficial.</t>
        </is>
      </c>
    </row>
    <row r="4">
      <c r="A4" s="21" t="inlineStr">
        <is>
          <t>Política de troca e devolução</t>
        </is>
      </c>
      <c r="B4" s="21" t="inlineStr">
        <is>
          <t>Cliente precisa entender prazos, condições e fluxo.</t>
        </is>
      </c>
      <c r="C4" s="21" t="inlineStr">
        <is>
          <t>Publicar política simples antes de vender.</t>
        </is>
      </c>
      <c r="D4" s="21" t="inlineStr">
        <is>
          <t>Reembolso improvisado e disputa.</t>
        </is>
      </c>
      <c r="E4" s="21" t="inlineStr">
        <is>
          <t>Validar com fonte oficial.</t>
        </is>
      </c>
    </row>
    <row r="5">
      <c r="A5" s="21" t="inlineStr">
        <is>
          <t>Transparência no prazo de entrega</t>
        </is>
      </c>
      <c r="B5" s="21" t="inlineStr">
        <is>
          <t>Prazo precisa ser claro e realista.</t>
        </is>
      </c>
      <c r="C5" s="21" t="inlineStr">
        <is>
          <t>Informar prazo conservador e rastreio.</t>
        </is>
      </c>
      <c r="D5" s="21" t="inlineStr">
        <is>
          <t>Insatisfação e reclamação.</t>
        </is>
      </c>
      <c r="E5" s="21" t="inlineStr">
        <is>
          <t>Validar com fonte oficial.</t>
        </is>
      </c>
    </row>
    <row r="6">
      <c r="A6" s="21" t="inlineStr">
        <is>
          <t>CNPJ/MEI</t>
        </is>
      </c>
      <c r="B6" s="21" t="inlineStr">
        <is>
          <t>A formalização depende da atividade, faturamento e estrutura.</t>
        </is>
      </c>
      <c r="C6" s="21" t="inlineStr">
        <is>
          <t>Consultar contador antes de escalar.</t>
        </is>
      </c>
      <c r="D6" s="21" t="inlineStr">
        <is>
          <t>Problemas fiscais e limite de operação.</t>
        </is>
      </c>
      <c r="E6" s="21" t="inlineStr">
        <is>
          <t>Validar com contador.</t>
        </is>
      </c>
    </row>
    <row r="7">
      <c r="A7" s="21" t="inlineStr">
        <is>
          <t>Nota fiscal</t>
        </is>
      </c>
      <c r="B7" s="21" t="inlineStr">
        <is>
          <t>A emissão depende do modelo fiscal aplicável.</t>
        </is>
      </c>
      <c r="C7" s="21" t="inlineStr">
        <is>
          <t>Entender obrigação antes de vender volume.</t>
        </is>
      </c>
      <c r="D7" s="21" t="inlineStr">
        <is>
          <t>Risco fiscal e dificuldade com fornecedores.</t>
        </is>
      </c>
      <c r="E7" s="21" t="inlineStr">
        <is>
          <t>Validar com contador.</t>
        </is>
      </c>
    </row>
    <row r="8">
      <c r="A8" s="21" t="inlineStr">
        <is>
          <t>Limite anual do MEI</t>
        </is>
      </c>
      <c r="B8" s="21" t="inlineStr">
        <is>
          <t>MEI tem limite de faturamento e atividades permitidas.</t>
        </is>
      </c>
      <c r="C8" s="21" t="inlineStr">
        <is>
          <t>Acompanhar receita mensal e projeção.</t>
        </is>
      </c>
      <c r="D8" s="21" t="inlineStr">
        <is>
          <t>Desenquadramento e imposto retroativo.</t>
        </is>
      </c>
      <c r="E8" s="21" t="inlineStr">
        <is>
          <t>Validar com contador ou fonte oficial.</t>
        </is>
      </c>
    </row>
    <row r="9">
      <c r="A9" s="21" t="inlineStr">
        <is>
          <t>Importação</t>
        </is>
      </c>
      <c r="B9" s="21" t="inlineStr">
        <is>
          <t>Importar pode ter imposto, documentação e retenção.</t>
        </is>
      </c>
      <c r="C9" s="21" t="inlineStr">
        <is>
          <t>Checar regra, prazo, rastreio e custo final.</t>
        </is>
      </c>
      <c r="D9" s="21" t="inlineStr">
        <is>
          <t>Atraso, custo extra e insatisfação.</t>
        </is>
      </c>
      <c r="E9" s="21" t="inlineStr">
        <is>
          <t>Validar com Receita Federal ou fonte oficial.</t>
        </is>
      </c>
    </row>
    <row r="10">
      <c r="A10" s="21" t="inlineStr">
        <is>
          <t>Remessa Conforme</t>
        </is>
      </c>
      <c r="B10" s="21" t="inlineStr">
        <is>
          <t>Compras internacionais podem exigir procedimentos específicos.</t>
        </is>
      </c>
      <c r="C10" s="21" t="inlineStr">
        <is>
          <t>Usar fornecedores com documentação e rastreio.</t>
        </is>
      </c>
      <c r="D10" s="21" t="inlineStr">
        <is>
          <t>Problemas na entrega e custo inesperado.</t>
        </is>
      </c>
      <c r="E10" s="21" t="inlineStr">
        <is>
          <t>Validar com fonte oficial.</t>
        </is>
      </c>
    </row>
    <row r="11">
      <c r="A11" s="21" t="inlineStr">
        <is>
          <t>Produtos proibidos</t>
        </is>
      </c>
      <c r="B11" s="21" t="inlineStr">
        <is>
          <t>Algumas categorias exigem autorização ou são restritas.</t>
        </is>
      </c>
      <c r="C11" s="21" t="inlineStr">
        <is>
          <t>Checar produto antes de cadastrar.</t>
        </is>
      </c>
      <c r="D11" s="21" t="inlineStr">
        <is>
          <t>Bloqueio, multa e risco legal.</t>
        </is>
      </c>
      <c r="E11" s="21" t="inlineStr">
        <is>
          <t>Validar com fonte oficial.</t>
        </is>
      </c>
    </row>
    <row r="12">
      <c r="A12" s="21" t="inlineStr">
        <is>
          <t>Promessas enganosas</t>
        </is>
      </c>
      <c r="B12" s="21" t="inlineStr">
        <is>
          <t>Benefícios exagerados geram risco legal e bloqueios.</t>
        </is>
      </c>
      <c r="C12" s="21" t="inlineStr">
        <is>
          <t>Usar comunicação honesta e demonstrável.</t>
        </is>
      </c>
      <c r="D12" s="21" t="inlineStr">
        <is>
          <t>Reclamações e bloqueio de anúncio.</t>
        </is>
      </c>
      <c r="E12" s="21" t="inlineStr">
        <is>
          <t>Validar políticas de anúncio e fonte oficial.</t>
        </is>
      </c>
    </row>
    <row r="13">
      <c r="A13" s="21" t="inlineStr">
        <is>
          <t>Uso de imagens do fornecedor</t>
        </is>
      </c>
      <c r="B13" s="21" t="inlineStr">
        <is>
          <t>Imagens podem ter direitos autorais ou restrições.</t>
        </is>
      </c>
      <c r="C13" s="21" t="inlineStr">
        <is>
          <t>Usar imagens próprias ou autorizadas.</t>
        </is>
      </c>
      <c r="D13" s="21" t="inlineStr">
        <is>
          <t>Notificação, remoção e disputa.</t>
        </is>
      </c>
      <c r="E13" s="21" t="inlineStr">
        <is>
          <t>Validar com fornecedor ou advogado.</t>
        </is>
      </c>
    </row>
    <row r="14">
      <c r="A14" s="21" t="inlineStr">
        <is>
          <t>LGPD</t>
        </is>
      </c>
      <c r="B14" s="21" t="inlineStr">
        <is>
          <t>Dados de clientes precisam de finalidade, cuidado e transparência.</t>
        </is>
      </c>
      <c r="C14" s="21" t="inlineStr">
        <is>
          <t>Ter aviso de privacidade e proteger acessos.</t>
        </is>
      </c>
      <c r="D14" s="21" t="inlineStr">
        <is>
          <t>Sanções e perda de confiança.</t>
        </is>
      </c>
      <c r="E14" s="21" t="inlineStr">
        <is>
          <t>Validar com fonte oficial ou jurídico.</t>
        </is>
      </c>
    </row>
    <row r="15"/>
    <row r="16">
      <c r="A16" s="2" t="inlineStr">
        <is>
          <t>Aviso</t>
        </is>
      </c>
      <c r="B16" s="2" t="inlineStr">
        <is>
          <t>Esta aba é orientação operacional básica, não aconselhamento jurídico definitivo.</t>
        </is>
      </c>
    </row>
  </sheetData>
  <autoFilter ref="A1:E14"/>
  <mergeCells count="1">
    <mergeCell ref="B16:E16"/>
  </mergeCells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H2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20" customWidth="1" min="4" max="4"/>
    <col width="19" customWidth="1" min="5" max="5"/>
    <col width="31" customWidth="1" min="6" max="6"/>
    <col width="22" customWidth="1" min="7" max="7"/>
    <col width="42" customWidth="1" min="8" max="8"/>
  </cols>
  <sheetData>
    <row r="1">
      <c r="A1" s="24" t="inlineStr">
        <is>
          <t>Categoria</t>
        </is>
      </c>
      <c r="B1" s="24" t="inlineStr">
        <is>
          <t>Ferramenta</t>
        </is>
      </c>
      <c r="C1" s="24" t="inlineStr">
        <is>
          <t>Função</t>
        </is>
      </c>
      <c r="D1" s="24" t="inlineStr">
        <is>
          <t>Preço aproximado</t>
        </is>
      </c>
      <c r="E1" s="24" t="inlineStr">
        <is>
          <t>Tem plano grátis?</t>
        </is>
      </c>
      <c r="F1" s="24" t="inlineStr">
        <is>
          <t>Alternativa gratuita</t>
        </is>
      </c>
      <c r="G1" s="24" t="inlineStr">
        <is>
          <t>Vale para iniciante?</t>
        </is>
      </c>
      <c r="H1" s="24" t="inlineStr">
        <is>
          <t>Observações</t>
        </is>
      </c>
    </row>
    <row r="2">
      <c r="A2" s="21" t="inlineStr">
        <is>
          <t>Loja</t>
        </is>
      </c>
      <c r="B2" s="21" t="inlineStr">
        <is>
          <t>Nuvemshop</t>
        </is>
      </c>
      <c r="C2" s="21" t="inlineStr">
        <is>
          <t>Loja simples e rápida para Brasil</t>
        </is>
      </c>
      <c r="D2" s="21" t="inlineStr">
        <is>
          <t>R$ 29 a R$ 119/mês</t>
        </is>
      </c>
      <c r="E2" s="21" t="inlineStr">
        <is>
          <t>Sim</t>
        </is>
      </c>
      <c r="F2" s="21" t="inlineStr">
        <is>
          <t>Teste grátis ou plano inicial</t>
        </is>
      </c>
      <c r="G2" s="21" t="inlineStr">
        <is>
          <t>Sim</t>
        </is>
      </c>
      <c r="H2" s="21" t="inlineStr">
        <is>
          <t>Boa para começar com operação nacional.</t>
        </is>
      </c>
    </row>
    <row r="3">
      <c r="A3" s="21" t="inlineStr">
        <is>
          <t>Loja</t>
        </is>
      </c>
      <c r="B3" s="21" t="inlineStr">
        <is>
          <t>Shopify</t>
        </is>
      </c>
      <c r="C3" s="21" t="inlineStr">
        <is>
          <t>Loja completa e ecossistema amplo</t>
        </is>
      </c>
      <c r="D3" s="21" t="inlineStr">
        <is>
          <t>R$ 39 a R$ 399/mês</t>
        </is>
      </c>
      <c r="E3" s="21" t="inlineStr">
        <is>
          <t>Trial</t>
        </is>
      </c>
      <c r="F3" s="21" t="inlineStr">
        <is>
          <t>Nuvemshop</t>
        </is>
      </c>
      <c r="G3" s="21" t="inlineStr">
        <is>
          <t>Sim</t>
        </is>
      </c>
      <c r="H3" s="21" t="inlineStr">
        <is>
          <t>Boa para crescer, mas validar custo em reais.</t>
        </is>
      </c>
    </row>
    <row r="4">
      <c r="A4" s="21" t="inlineStr">
        <is>
          <t>Loja</t>
        </is>
      </c>
      <c r="B4" s="21" t="inlineStr">
        <is>
          <t>WooCommerce</t>
        </is>
      </c>
      <c r="C4" s="21" t="inlineStr">
        <is>
          <t>Loja com WordPress</t>
        </is>
      </c>
      <c r="D4" s="21" t="inlineStr">
        <is>
          <t>Variável</t>
        </is>
      </c>
      <c r="E4" s="21" t="inlineStr">
        <is>
          <t>Sim</t>
        </is>
      </c>
      <c r="F4" s="21" t="inlineStr">
        <is>
          <t>Nuvemshop</t>
        </is>
      </c>
      <c r="G4" s="21" t="inlineStr">
        <is>
          <t>Parcial</t>
        </is>
      </c>
      <c r="H4" s="21" t="inlineStr">
        <is>
          <t>Mais controle, exige manutenção.</t>
        </is>
      </c>
    </row>
    <row r="5">
      <c r="A5" s="21" t="inlineStr">
        <is>
          <t>Loja</t>
        </is>
      </c>
      <c r="B5" s="21" t="inlineStr">
        <is>
          <t>Yampi</t>
        </is>
      </c>
      <c r="C5" s="21" t="inlineStr">
        <is>
          <t>Checkout e estrutura de loja</t>
        </is>
      </c>
      <c r="D5" s="21" t="inlineStr">
        <is>
          <t>Variável</t>
        </is>
      </c>
      <c r="E5" s="21" t="inlineStr">
        <is>
          <t>Sim</t>
        </is>
      </c>
      <c r="F5" s="21" t="inlineStr">
        <is>
          <t>Nuvemshop</t>
        </is>
      </c>
      <c r="G5" s="21" t="inlineStr">
        <is>
          <t>Sim</t>
        </is>
      </c>
      <c r="H5" s="21" t="inlineStr">
        <is>
          <t>Muito usada no mercado brasileiro.</t>
        </is>
      </c>
    </row>
    <row r="6">
      <c r="A6" s="21" t="inlineStr">
        <is>
          <t>Domínio</t>
        </is>
      </c>
      <c r="B6" s="21" t="inlineStr">
        <is>
          <t>Registro.br ou registrador equivalente</t>
        </is>
      </c>
      <c r="C6" s="21" t="inlineStr">
        <is>
          <t>Comprar domínio próprio</t>
        </is>
      </c>
      <c r="D6" s="21" t="inlineStr">
        <is>
          <t>R$ 40 a R$ 80/ano</t>
        </is>
      </c>
      <c r="E6" s="21" t="inlineStr">
        <is>
          <t>Não</t>
        </is>
      </c>
      <c r="F6" s="21" t="inlineStr">
        <is>
          <t>Subdomínio temporário</t>
        </is>
      </c>
      <c r="G6" s="21" t="inlineStr">
        <is>
          <t>Sim</t>
        </is>
      </c>
      <c r="H6" s="21" t="inlineStr">
        <is>
          <t>Domínio próprio melhora confiança.</t>
        </is>
      </c>
    </row>
    <row r="7">
      <c r="A7" s="21" t="inlineStr">
        <is>
          <t>Design</t>
        </is>
      </c>
      <c r="B7" s="21" t="inlineStr">
        <is>
          <t>Canva</t>
        </is>
      </c>
      <c r="C7" s="21" t="inlineStr">
        <is>
          <t>Criar posts, banners e identidade</t>
        </is>
      </c>
      <c r="D7" s="21" t="inlineStr">
        <is>
          <t>Grátis / pago</t>
        </is>
      </c>
      <c r="E7" s="21" t="inlineStr">
        <is>
          <t>Sim</t>
        </is>
      </c>
      <c r="F7" s="21" t="inlineStr">
        <is>
          <t>Photopea</t>
        </is>
      </c>
      <c r="G7" s="21" t="inlineStr">
        <is>
          <t>Sim</t>
        </is>
      </c>
      <c r="H7" s="21" t="inlineStr">
        <is>
          <t>Excelente para MVP.</t>
        </is>
      </c>
    </row>
    <row r="8">
      <c r="A8" s="21" t="inlineStr">
        <is>
          <t>Vídeo</t>
        </is>
      </c>
      <c r="B8" s="21" t="inlineStr">
        <is>
          <t>CapCut</t>
        </is>
      </c>
      <c r="C8" s="21" t="inlineStr">
        <is>
          <t>Editar vídeos curtos</t>
        </is>
      </c>
      <c r="D8" s="21" t="inlineStr">
        <is>
          <t>Grátis / pago</t>
        </is>
      </c>
      <c r="E8" s="21" t="inlineStr">
        <is>
          <t>Sim</t>
        </is>
      </c>
      <c r="F8" s="21" t="inlineStr">
        <is>
          <t>VN</t>
        </is>
      </c>
      <c r="G8" s="21" t="inlineStr">
        <is>
          <t>Sim</t>
        </is>
      </c>
      <c r="H8" s="21" t="inlineStr">
        <is>
          <t>Útil para TikTok/Reels.</t>
        </is>
      </c>
    </row>
    <row r="9">
      <c r="A9" s="21" t="inlineStr">
        <is>
          <t>Anúncios</t>
        </is>
      </c>
      <c r="B9" s="21" t="inlineStr">
        <is>
          <t>Meta Ads</t>
        </is>
      </c>
      <c r="C9" s="21" t="inlineStr">
        <is>
          <t>Campanhas no Facebook e Instagram</t>
        </is>
      </c>
      <c r="D9" s="21" t="inlineStr">
        <is>
          <t>Orçamento variável</t>
        </is>
      </c>
      <c r="E9" s="21" t="inlineStr">
        <is>
          <t>Não</t>
        </is>
      </c>
      <c r="F9" s="21" t="inlineStr">
        <is>
          <t>Conteúdo orgânico</t>
        </is>
      </c>
      <c r="G9" s="21" t="inlineStr">
        <is>
          <t>Sim</t>
        </is>
      </c>
      <c r="H9" s="21" t="inlineStr">
        <is>
          <t>Começar com orçamento pequeno.</t>
        </is>
      </c>
    </row>
    <row r="10">
      <c r="A10" s="21" t="inlineStr">
        <is>
          <t>Anúncios</t>
        </is>
      </c>
      <c r="B10" s="21" t="inlineStr">
        <is>
          <t>TikTok Ads</t>
        </is>
      </c>
      <c r="C10" s="21" t="inlineStr">
        <is>
          <t>Campanhas na plataforma TikTok</t>
        </is>
      </c>
      <c r="D10" s="21" t="inlineStr">
        <is>
          <t>Orçamento variável</t>
        </is>
      </c>
      <c r="E10" s="21" t="inlineStr">
        <is>
          <t>Não</t>
        </is>
      </c>
      <c r="F10" s="21" t="inlineStr">
        <is>
          <t>Conteúdo orgânico</t>
        </is>
      </c>
      <c r="G10" s="21" t="inlineStr">
        <is>
          <t>Sim</t>
        </is>
      </c>
      <c r="H10" s="21" t="inlineStr">
        <is>
          <t>Bom para vídeos curtos.</t>
        </is>
      </c>
    </row>
    <row r="11">
      <c r="A11" s="21" t="inlineStr">
        <is>
          <t>Atendimento</t>
        </is>
      </c>
      <c r="B11" s="21" t="inlineStr">
        <is>
          <t>WhatsApp Business</t>
        </is>
      </c>
      <c r="C11" s="21" t="inlineStr">
        <is>
          <t>Atendimento, catálogo e respostas rápidas</t>
        </is>
      </c>
      <c r="D11" s="21" t="inlineStr">
        <is>
          <t>Grátis</t>
        </is>
      </c>
      <c r="E11" s="21" t="inlineStr">
        <is>
          <t>Sim</t>
        </is>
      </c>
      <c r="F11" s="21" t="inlineStr">
        <is>
          <t>E-mail</t>
        </is>
      </c>
      <c r="G11" s="21" t="inlineStr">
        <is>
          <t>Sim</t>
        </is>
      </c>
      <c r="H11" s="21" t="inlineStr">
        <is>
          <t>Canal essencial no Brasil.</t>
        </is>
      </c>
    </row>
    <row r="12">
      <c r="A12" s="21" t="inlineStr">
        <is>
          <t>Rastreio</t>
        </is>
      </c>
      <c r="B12" s="21" t="inlineStr">
        <is>
          <t>Melhor Envio</t>
        </is>
      </c>
      <c r="C12" s="21" t="inlineStr">
        <is>
          <t>Frete, rastreio e logística quando aplicável</t>
        </is>
      </c>
      <c r="D12" s="21" t="inlineStr">
        <is>
          <t>Grátis / variável</t>
        </is>
      </c>
      <c r="E12" s="21" t="inlineStr">
        <is>
          <t>Sim</t>
        </is>
      </c>
      <c r="F12" s="21" t="inlineStr">
        <is>
          <t>Rastreio manual</t>
        </is>
      </c>
      <c r="G12" s="21" t="inlineStr">
        <is>
          <t>Sim</t>
        </is>
      </c>
      <c r="H12" s="21" t="inlineStr">
        <is>
          <t>Útil para fornecedores nacionais.</t>
        </is>
      </c>
    </row>
    <row r="13">
      <c r="A13" s="21" t="inlineStr">
        <is>
          <t>E-mail marketing</t>
        </is>
      </c>
      <c r="B13" s="21" t="inlineStr">
        <is>
          <t>Brevo, Mailchimp ou similar</t>
        </is>
      </c>
      <c r="C13" s="21" t="inlineStr">
        <is>
          <t>Fluxos de pós-venda e recuperação</t>
        </is>
      </c>
      <c r="D13" s="21" t="inlineStr">
        <is>
          <t>Grátis / pago</t>
        </is>
      </c>
      <c r="E13" s="21" t="inlineStr">
        <is>
          <t>Sim</t>
        </is>
      </c>
      <c r="F13" s="21" t="inlineStr">
        <is>
          <t>E-mail da plataforma</t>
        </is>
      </c>
      <c r="G13" s="21" t="inlineStr">
        <is>
          <t>Parcial</t>
        </is>
      </c>
      <c r="H13" s="21" t="inlineStr">
        <is>
          <t>Só usar quando houver tráfego suficiente.</t>
        </is>
      </c>
    </row>
    <row r="14">
      <c r="A14" s="21" t="inlineStr">
        <is>
          <t>Analytics</t>
        </is>
      </c>
      <c r="B14" s="21" t="inlineStr">
        <is>
          <t>Google Analytics</t>
        </is>
      </c>
      <c r="C14" s="21" t="inlineStr">
        <is>
          <t>Medir tráfego e conversão</t>
        </is>
      </c>
      <c r="D14" s="21" t="inlineStr">
        <is>
          <t>Grátis</t>
        </is>
      </c>
      <c r="E14" s="21" t="inlineStr">
        <is>
          <t>Sim</t>
        </is>
      </c>
      <c r="F14" s="21" t="inlineStr">
        <is>
          <t>Relatórios da plataforma</t>
        </is>
      </c>
      <c r="G14" s="21" t="inlineStr">
        <is>
          <t>Sim</t>
        </is>
      </c>
      <c r="H14" s="21" t="inlineStr">
        <is>
          <t>Instalar desde o início.</t>
        </is>
      </c>
    </row>
    <row r="15">
      <c r="A15" s="21" t="inlineStr">
        <is>
          <t>Analytics</t>
        </is>
      </c>
      <c r="B15" s="21" t="inlineStr">
        <is>
          <t>Microsoft Clarity</t>
        </is>
      </c>
      <c r="C15" s="21" t="inlineStr">
        <is>
          <t>Mapas de calor e gravações</t>
        </is>
      </c>
      <c r="D15" s="21" t="inlineStr">
        <is>
          <t>Grátis</t>
        </is>
      </c>
      <c r="E15" s="21" t="inlineStr">
        <is>
          <t>Sim</t>
        </is>
      </c>
      <c r="F15" s="21" t="inlineStr">
        <is>
          <t>Hotjar grátis</t>
        </is>
      </c>
      <c r="G15" s="21" t="inlineStr">
        <is>
          <t>Sim</t>
        </is>
      </c>
      <c r="H15" s="21" t="inlineStr">
        <is>
          <t>Ajuda a achar problemas no checkout.</t>
        </is>
      </c>
    </row>
    <row r="16">
      <c r="A16" s="21" t="inlineStr">
        <is>
          <t>Pesquisa</t>
        </is>
      </c>
      <c r="B16" s="21" t="inlineStr">
        <is>
          <t>Google Trends</t>
        </is>
      </c>
      <c r="C16" s="21" t="inlineStr">
        <is>
          <t>Entender interesse e sazonalidade</t>
        </is>
      </c>
      <c r="D16" s="21" t="inlineStr">
        <is>
          <t>Grátis</t>
        </is>
      </c>
      <c r="E16" s="21" t="inlineStr">
        <is>
          <t>Sim</t>
        </is>
      </c>
      <c r="F16" s="21" t="inlineStr">
        <is>
          <t>Pesquisa manual</t>
        </is>
      </c>
      <c r="G16" s="21" t="inlineStr">
        <is>
          <t>Sim</t>
        </is>
      </c>
      <c r="H16" s="21" t="inlineStr">
        <is>
          <t>Bom para validar demanda.</t>
        </is>
      </c>
    </row>
    <row r="17">
      <c r="A17" s="21" t="inlineStr">
        <is>
          <t>Pesquisa de concorrentes</t>
        </is>
      </c>
      <c r="B17" s="21" t="inlineStr">
        <is>
          <t>Mercado Livre, Shopee, TikTok e Instagram</t>
        </is>
      </c>
      <c r="C17" s="21" t="inlineStr">
        <is>
          <t>Analisar preço, demanda e criativos</t>
        </is>
      </c>
      <c r="D17" s="21" t="inlineStr">
        <is>
          <t>Grátis</t>
        </is>
      </c>
      <c r="E17" s="21" t="inlineStr">
        <is>
          <t>Sim</t>
        </is>
      </c>
      <c r="F17" s="21" t="inlineStr">
        <is>
          <t>Pesquisa manual</t>
        </is>
      </c>
      <c r="G17" s="21" t="inlineStr">
        <is>
          <t>Sim</t>
        </is>
      </c>
      <c r="H17" s="21" t="inlineStr">
        <is>
          <t>Não copiar marca ou promessa.</t>
        </is>
      </c>
    </row>
    <row r="18">
      <c r="A18" s="21" t="inlineStr">
        <is>
          <t>Fornecedores</t>
        </is>
      </c>
      <c r="B18" s="21" t="inlineStr">
        <is>
          <t>Dropi</t>
        </is>
      </c>
      <c r="C18" s="21" t="inlineStr">
        <is>
          <t>Integração e catálogo</t>
        </is>
      </c>
      <c r="D18" s="21" t="inlineStr">
        <is>
          <t>Variável</t>
        </is>
      </c>
      <c r="E18" s="21" t="inlineStr">
        <is>
          <t>Validar</t>
        </is>
      </c>
      <c r="F18" s="21" t="inlineStr">
        <is>
          <t>Fornecedor direto</t>
        </is>
      </c>
      <c r="G18" s="21" t="inlineStr">
        <is>
          <t>Sim</t>
        </is>
      </c>
      <c r="H18" s="21" t="inlineStr">
        <is>
          <t>Validar plano no site oficial.</t>
        </is>
      </c>
    </row>
    <row r="19">
      <c r="A19" s="21" t="inlineStr">
        <is>
          <t>Fornecedores</t>
        </is>
      </c>
      <c r="B19" s="21" t="inlineStr">
        <is>
          <t>DSers</t>
        </is>
      </c>
      <c r="C19" s="21" t="inlineStr">
        <is>
          <t>Gestão de pedidos do AliExpress</t>
        </is>
      </c>
      <c r="D19" s="21" t="inlineStr">
        <is>
          <t>Grátis / pago</t>
        </is>
      </c>
      <c r="E19" s="21" t="inlineStr">
        <is>
          <t>Sim</t>
        </is>
      </c>
      <c r="F19" s="21" t="inlineStr">
        <is>
          <t>Dropi</t>
        </is>
      </c>
      <c r="G19" s="21" t="inlineStr">
        <is>
          <t>Sim</t>
        </is>
      </c>
      <c r="H19" s="21" t="inlineStr">
        <is>
          <t>Útil para testes internacionais.</t>
        </is>
      </c>
    </row>
    <row r="20">
      <c r="A20" s="21" t="inlineStr">
        <is>
          <t>Fornecedores</t>
        </is>
      </c>
      <c r="B20" s="21" t="inlineStr">
        <is>
          <t>CJdropshipping</t>
        </is>
      </c>
      <c r="C20" s="21" t="inlineStr">
        <is>
          <t>Sourcing e fulfillment</t>
        </is>
      </c>
      <c r="D20" s="21" t="inlineStr">
        <is>
          <t>Variável</t>
        </is>
      </c>
      <c r="E20" s="21" t="inlineStr">
        <is>
          <t>Validar</t>
        </is>
      </c>
      <c r="F20" s="21" t="inlineStr">
        <is>
          <t>Dropi</t>
        </is>
      </c>
      <c r="G20" s="21" t="inlineStr">
        <is>
          <t>Parcial</t>
        </is>
      </c>
      <c r="H20" s="21" t="inlineStr">
        <is>
          <t>Mais indicado após validação.</t>
        </is>
      </c>
    </row>
    <row r="21">
      <c r="A21" s="21" t="inlineStr">
        <is>
          <t>Automação</t>
        </is>
      </c>
      <c r="B21" s="21" t="inlineStr">
        <is>
          <t>Planilha + rotinas simples</t>
        </is>
      </c>
      <c r="C21" s="21" t="inlineStr">
        <is>
          <t>Controle inicial de pedidos e margem</t>
        </is>
      </c>
      <c r="D21" s="21" t="inlineStr">
        <is>
          <t>Grátis</t>
        </is>
      </c>
      <c r="E21" s="21" t="inlineStr">
        <is>
          <t>Sim</t>
        </is>
      </c>
      <c r="F21" s="21" t="inlineStr">
        <is>
          <t>Google Sheets</t>
        </is>
      </c>
      <c r="G21" s="21" t="inlineStr">
        <is>
          <t>Sim</t>
        </is>
      </c>
      <c r="H21" s="21" t="inlineStr">
        <is>
          <t>Automatizar só depois de validar.</t>
        </is>
      </c>
    </row>
  </sheetData>
  <autoFilter ref="A1:H21"/>
  <conditionalFormatting sqref="G2:G21">
    <cfRule type="expression" priority="1" dxfId="0">
      <formula>=G2="Sim"</formula>
    </cfRule>
    <cfRule type="expression" priority="2" dxfId="1">
      <formula>=G2="Parcial"</formula>
    </cfRule>
    <cfRule type="expression" priority="3" dxfId="2">
      <formula>=G2="Não"</formula>
    </cfRule>
  </conditionalFormatting>
  <dataValidations count="2">
    <dataValidation sqref="E2:E21" showDropDown="0" showInputMessage="0" showErrorMessage="0" allowBlank="1" errorTitle="Valor inválido" error="Escolha uma opção da lista." type="list">
      <formula1>"Sim,Sim com cautela,Parcial,Não,Não no começo,Não no primeiro teste,Trial,Validar"</formula1>
    </dataValidation>
    <dataValidation sqref="G2:G21" showDropDown="0" showInputMessage="0" showErrorMessage="0" allowBlank="1" errorTitle="Valor inválido" error="Escolha uma opção da lista." type="list">
      <formula1>"Sim,Sim com cautela,Parcial,Não,Não no começo,Não no primeiro teste,Trial,Validar"</formula1>
    </dataValidation>
  </dataValidations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BCBD22"/>
    <outlinePr summaryBelow="1" summaryRight="1"/>
    <pageSetUpPr fitToPage="1"/>
  </sheetPr>
  <dimension ref="A1:O1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5" customWidth="1" min="3" max="3"/>
    <col width="22" customWidth="1" min="4" max="4"/>
    <col width="19" customWidth="1" min="5" max="5"/>
    <col width="14" customWidth="1" min="6" max="6"/>
    <col width="13" customWidth="1" min="7" max="7"/>
    <col width="20" customWidth="1" min="8" max="8"/>
    <col width="11" customWidth="1" min="9" max="9"/>
    <col width="12" customWidth="1" min="10" max="10"/>
    <col width="11" customWidth="1" min="11" max="11"/>
    <col width="13" customWidth="1" min="12" max="12"/>
    <col width="12" customWidth="1" min="13" max="13"/>
    <col width="30" customWidth="1" min="14" max="14"/>
    <col width="22" customWidth="1" min="15" max="15"/>
  </cols>
  <sheetData>
    <row r="1" ht="30" customHeight="1">
      <c r="A1" s="29" t="inlineStr">
        <is>
          <t>Projeção financeira estimada para 3 meses</t>
        </is>
      </c>
    </row>
    <row r="2" ht="36" customHeight="1">
      <c r="A2" s="2" t="inlineStr">
        <is>
          <t>Use como simulação. O resultado real depende de produto, criativo, fornecedor, tráfego, atendimento e execução.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</row>
    <row r="3"/>
    <row r="4">
      <c r="A4" s="24" t="inlineStr">
        <is>
          <t>Mês</t>
        </is>
      </c>
      <c r="B4" s="24" t="inlineStr">
        <is>
          <t>Cenário</t>
        </is>
      </c>
      <c r="C4" s="24" t="inlineStr">
        <is>
          <t>Visitas</t>
        </is>
      </c>
      <c r="D4" s="24" t="inlineStr">
        <is>
          <t>Taxa de conversão</t>
        </is>
      </c>
      <c r="E4" s="24" t="inlineStr">
        <is>
          <t>Pedidos</t>
        </is>
      </c>
      <c r="F4" s="24" t="inlineStr">
        <is>
          <t>Ticket médio</t>
        </is>
      </c>
      <c r="G4" s="24" t="inlineStr">
        <is>
          <t>Faturamento</t>
        </is>
      </c>
      <c r="H4" s="24" t="inlineStr">
        <is>
          <t>Custo dos produtos</t>
        </is>
      </c>
      <c r="I4" s="24" t="inlineStr">
        <is>
          <t>Frete</t>
        </is>
      </c>
      <c r="J4" s="24" t="inlineStr">
        <is>
          <t>Taxas</t>
        </is>
      </c>
      <c r="K4" s="24" t="inlineStr">
        <is>
          <t>Anúncios</t>
        </is>
      </c>
      <c r="L4" s="24" t="inlineStr">
        <is>
          <t>Ferramentas</t>
        </is>
      </c>
      <c r="M4" s="24" t="inlineStr">
        <is>
          <t>Reembolsos</t>
        </is>
      </c>
      <c r="N4" s="24" t="inlineStr">
        <is>
          <t>Lucro líquido</t>
        </is>
      </c>
      <c r="O4" s="24" t="inlineStr">
        <is>
          <t>Margem líquida</t>
        </is>
      </c>
    </row>
    <row r="5">
      <c r="A5" s="21" t="inlineStr">
        <is>
          <t>Mês 1</t>
        </is>
      </c>
      <c r="B5" s="21" t="inlineStr">
        <is>
          <t>Ruim</t>
        </is>
      </c>
      <c r="C5" s="37" t="n">
        <v>1200</v>
      </c>
      <c r="D5" s="38" t="n">
        <v>0.006</v>
      </c>
      <c r="E5" s="39">
        <f>ROUND(C5*D5,0)</f>
        <v/>
      </c>
      <c r="F5" s="22" t="n">
        <v>59</v>
      </c>
      <c r="G5" s="40">
        <f>E5*F5</f>
        <v/>
      </c>
      <c r="H5" s="40">
        <f>G5*0.42</f>
        <v/>
      </c>
      <c r="I5" s="40">
        <f>G5*0.10</f>
        <v/>
      </c>
      <c r="J5" s="40">
        <f>G5*0.075</f>
        <v/>
      </c>
      <c r="K5" s="40">
        <f>C5*0.32</f>
        <v/>
      </c>
      <c r="L5" s="22" t="n">
        <v>80</v>
      </c>
      <c r="M5" s="40">
        <f>G5*0.04</f>
        <v/>
      </c>
      <c r="N5" s="40">
        <f>G5-H5-I5-J5-K5-L5-M5</f>
        <v/>
      </c>
      <c r="O5" s="26">
        <f>IF(G5=0,0,N5/G5)</f>
        <v/>
      </c>
    </row>
    <row r="6">
      <c r="A6" s="21" t="inlineStr">
        <is>
          <t>Mês 2</t>
        </is>
      </c>
      <c r="B6" s="21" t="inlineStr">
        <is>
          <t>Ruim</t>
        </is>
      </c>
      <c r="C6" s="37" t="n">
        <v>1500</v>
      </c>
      <c r="D6" s="38" t="n">
        <v>0.008</v>
      </c>
      <c r="E6" s="39">
        <f>ROUND(C6*D6,0)</f>
        <v/>
      </c>
      <c r="F6" s="22" t="n">
        <v>62</v>
      </c>
      <c r="G6" s="40">
        <f>E6*F6</f>
        <v/>
      </c>
      <c r="H6" s="40">
        <f>G6*0.42</f>
        <v/>
      </c>
      <c r="I6" s="40">
        <f>G6*0.10</f>
        <v/>
      </c>
      <c r="J6" s="40">
        <f>G6*0.075</f>
        <v/>
      </c>
      <c r="K6" s="40">
        <f>C6*0.32</f>
        <v/>
      </c>
      <c r="L6" s="22" t="n">
        <v>80</v>
      </c>
      <c r="M6" s="40">
        <f>G6*0.04</f>
        <v/>
      </c>
      <c r="N6" s="40">
        <f>G6-H6-I6-J6-K6-L6-M6</f>
        <v/>
      </c>
      <c r="O6" s="26">
        <f>IF(G6=0,0,N6/G6)</f>
        <v/>
      </c>
    </row>
    <row r="7">
      <c r="A7" s="21" t="inlineStr">
        <is>
          <t>Mês 3</t>
        </is>
      </c>
      <c r="B7" s="21" t="inlineStr">
        <is>
          <t>Ruim</t>
        </is>
      </c>
      <c r="C7" s="37" t="n">
        <v>1800</v>
      </c>
      <c r="D7" s="38" t="n">
        <v>0.01</v>
      </c>
      <c r="E7" s="39">
        <f>ROUND(C7*D7,0)</f>
        <v/>
      </c>
      <c r="F7" s="22" t="n">
        <v>65</v>
      </c>
      <c r="G7" s="40">
        <f>E7*F7</f>
        <v/>
      </c>
      <c r="H7" s="40">
        <f>G7*0.42</f>
        <v/>
      </c>
      <c r="I7" s="40">
        <f>G7*0.10</f>
        <v/>
      </c>
      <c r="J7" s="40">
        <f>G7*0.075</f>
        <v/>
      </c>
      <c r="K7" s="40">
        <f>C7*0.32</f>
        <v/>
      </c>
      <c r="L7" s="22" t="n">
        <v>80</v>
      </c>
      <c r="M7" s="40">
        <f>G7*0.04</f>
        <v/>
      </c>
      <c r="N7" s="40">
        <f>G7-H7-I7-J7-K7-L7-M7</f>
        <v/>
      </c>
      <c r="O7" s="26">
        <f>IF(G7=0,0,N7/G7)</f>
        <v/>
      </c>
    </row>
    <row r="8">
      <c r="A8" s="21" t="inlineStr">
        <is>
          <t>Mês 1</t>
        </is>
      </c>
      <c r="B8" s="21" t="inlineStr">
        <is>
          <t>Médio</t>
        </is>
      </c>
      <c r="C8" s="37" t="n">
        <v>3000</v>
      </c>
      <c r="D8" s="38" t="n">
        <v>0.014</v>
      </c>
      <c r="E8" s="39">
        <f>ROUND(C8*D8,0)</f>
        <v/>
      </c>
      <c r="F8" s="22" t="n">
        <v>75</v>
      </c>
      <c r="G8" s="40">
        <f>E8*F8</f>
        <v/>
      </c>
      <c r="H8" s="40">
        <f>G8*0.42</f>
        <v/>
      </c>
      <c r="I8" s="40">
        <f>G8*0.10</f>
        <v/>
      </c>
      <c r="J8" s="40">
        <f>G8*0.075</f>
        <v/>
      </c>
      <c r="K8" s="40">
        <f>C8*0.28</f>
        <v/>
      </c>
      <c r="L8" s="22" t="n">
        <v>120</v>
      </c>
      <c r="M8" s="40">
        <f>G8*0.04</f>
        <v/>
      </c>
      <c r="N8" s="40">
        <f>G8-H8-I8-J8-K8-L8-M8</f>
        <v/>
      </c>
      <c r="O8" s="26">
        <f>IF(G8=0,0,N8/G8)</f>
        <v/>
      </c>
    </row>
    <row r="9">
      <c r="A9" s="21" t="inlineStr">
        <is>
          <t>Mês 2</t>
        </is>
      </c>
      <c r="B9" s="21" t="inlineStr">
        <is>
          <t>Médio</t>
        </is>
      </c>
      <c r="C9" s="37" t="n">
        <v>3800</v>
      </c>
      <c r="D9" s="38" t="n">
        <v>0.017</v>
      </c>
      <c r="E9" s="39">
        <f>ROUND(C9*D9,0)</f>
        <v/>
      </c>
      <c r="F9" s="22" t="n">
        <v>79</v>
      </c>
      <c r="G9" s="40">
        <f>E9*F9</f>
        <v/>
      </c>
      <c r="H9" s="40">
        <f>G9*0.42</f>
        <v/>
      </c>
      <c r="I9" s="40">
        <f>G9*0.10</f>
        <v/>
      </c>
      <c r="J9" s="40">
        <f>G9*0.075</f>
        <v/>
      </c>
      <c r="K9" s="40">
        <f>C9*0.28</f>
        <v/>
      </c>
      <c r="L9" s="22" t="n">
        <v>120</v>
      </c>
      <c r="M9" s="40">
        <f>G9*0.04</f>
        <v/>
      </c>
      <c r="N9" s="40">
        <f>G9-H9-I9-J9-K9-L9-M9</f>
        <v/>
      </c>
      <c r="O9" s="26">
        <f>IF(G9=0,0,N9/G9)</f>
        <v/>
      </c>
    </row>
    <row r="10">
      <c r="A10" s="21" t="inlineStr">
        <is>
          <t>Mês 3</t>
        </is>
      </c>
      <c r="B10" s="21" t="inlineStr">
        <is>
          <t>Médio</t>
        </is>
      </c>
      <c r="C10" s="37" t="n">
        <v>4600</v>
      </c>
      <c r="D10" s="38" t="n">
        <v>0.02</v>
      </c>
      <c r="E10" s="39">
        <f>ROUND(C10*D10,0)</f>
        <v/>
      </c>
      <c r="F10" s="22" t="n">
        <v>84</v>
      </c>
      <c r="G10" s="40">
        <f>E10*F10</f>
        <v/>
      </c>
      <c r="H10" s="40">
        <f>G10*0.42</f>
        <v/>
      </c>
      <c r="I10" s="40">
        <f>G10*0.10</f>
        <v/>
      </c>
      <c r="J10" s="40">
        <f>G10*0.075</f>
        <v/>
      </c>
      <c r="K10" s="40">
        <f>C10*0.28</f>
        <v/>
      </c>
      <c r="L10" s="22" t="n">
        <v>120</v>
      </c>
      <c r="M10" s="40">
        <f>G10*0.04</f>
        <v/>
      </c>
      <c r="N10" s="40">
        <f>G10-H10-I10-J10-K10-L10-M10</f>
        <v/>
      </c>
      <c r="O10" s="26">
        <f>IF(G10=0,0,N10/G10)</f>
        <v/>
      </c>
    </row>
    <row r="11">
      <c r="A11" s="21" t="inlineStr">
        <is>
          <t>Mês 1</t>
        </is>
      </c>
      <c r="B11" s="21" t="inlineStr">
        <is>
          <t>Bom</t>
        </is>
      </c>
      <c r="C11" s="37" t="n">
        <v>5000</v>
      </c>
      <c r="D11" s="38" t="n">
        <v>0.022</v>
      </c>
      <c r="E11" s="39">
        <f>ROUND(C11*D11,0)</f>
        <v/>
      </c>
      <c r="F11" s="22" t="n">
        <v>85</v>
      </c>
      <c r="G11" s="40">
        <f>E11*F11</f>
        <v/>
      </c>
      <c r="H11" s="40">
        <f>G11*0.42</f>
        <v/>
      </c>
      <c r="I11" s="40">
        <f>G11*0.10</f>
        <v/>
      </c>
      <c r="J11" s="40">
        <f>G11*0.075</f>
        <v/>
      </c>
      <c r="K11" s="40">
        <f>C11*0.22</f>
        <v/>
      </c>
      <c r="L11" s="22" t="n">
        <v>180</v>
      </c>
      <c r="M11" s="40">
        <f>G11*0.04</f>
        <v/>
      </c>
      <c r="N11" s="40">
        <f>G11-H11-I11-J11-K11-L11-M11</f>
        <v/>
      </c>
      <c r="O11" s="26">
        <f>IF(G11=0,0,N11/G11)</f>
        <v/>
      </c>
    </row>
    <row r="12">
      <c r="A12" s="21" t="inlineStr">
        <is>
          <t>Mês 2</t>
        </is>
      </c>
      <c r="B12" s="21" t="inlineStr">
        <is>
          <t>Bom</t>
        </is>
      </c>
      <c r="C12" s="37" t="n">
        <v>6500</v>
      </c>
      <c r="D12" s="38" t="n">
        <v>0.026</v>
      </c>
      <c r="E12" s="39">
        <f>ROUND(C12*D12,0)</f>
        <v/>
      </c>
      <c r="F12" s="22" t="n">
        <v>90</v>
      </c>
      <c r="G12" s="40">
        <f>E12*F12</f>
        <v/>
      </c>
      <c r="H12" s="40">
        <f>G12*0.42</f>
        <v/>
      </c>
      <c r="I12" s="40">
        <f>G12*0.10</f>
        <v/>
      </c>
      <c r="J12" s="40">
        <f>G12*0.075</f>
        <v/>
      </c>
      <c r="K12" s="40">
        <f>C12*0.22</f>
        <v/>
      </c>
      <c r="L12" s="22" t="n">
        <v>180</v>
      </c>
      <c r="M12" s="40">
        <f>G12*0.04</f>
        <v/>
      </c>
      <c r="N12" s="40">
        <f>G12-H12-I12-J12-K12-L12-M12</f>
        <v/>
      </c>
      <c r="O12" s="26">
        <f>IF(G12=0,0,N12/G12)</f>
        <v/>
      </c>
    </row>
    <row r="13">
      <c r="A13" s="21" t="inlineStr">
        <is>
          <t>Mês 3</t>
        </is>
      </c>
      <c r="B13" s="21" t="inlineStr">
        <is>
          <t>Bom</t>
        </is>
      </c>
      <c r="C13" s="37" t="n">
        <v>8000</v>
      </c>
      <c r="D13" s="38" t="n">
        <v>0.03</v>
      </c>
      <c r="E13" s="39">
        <f>ROUND(C13*D13,0)</f>
        <v/>
      </c>
      <c r="F13" s="22" t="n">
        <v>95</v>
      </c>
      <c r="G13" s="40">
        <f>E13*F13</f>
        <v/>
      </c>
      <c r="H13" s="40">
        <f>G13*0.42</f>
        <v/>
      </c>
      <c r="I13" s="40">
        <f>G13*0.10</f>
        <v/>
      </c>
      <c r="J13" s="40">
        <f>G13*0.075</f>
        <v/>
      </c>
      <c r="K13" s="40">
        <f>C13*0.22</f>
        <v/>
      </c>
      <c r="L13" s="22" t="n">
        <v>180</v>
      </c>
      <c r="M13" s="40">
        <f>G13*0.04</f>
        <v/>
      </c>
      <c r="N13" s="40">
        <f>G13-H13-I13-J13-K13-L13-M13</f>
        <v/>
      </c>
      <c r="O13" s="26">
        <f>IF(G13=0,0,N13/G13)</f>
        <v/>
      </c>
    </row>
    <row r="14"/>
    <row r="15"/>
    <row r="16">
      <c r="A16" s="24" t="inlineStr">
        <is>
          <t>Cenário</t>
        </is>
      </c>
      <c r="B16" s="24" t="inlineStr">
        <is>
          <t>Lucro líquido no mês 3</t>
        </is>
      </c>
      <c r="C16" s="24" t="inlineStr">
        <is>
          <t>Margem líquida no mês 3</t>
        </is>
      </c>
      <c r="D16" s="24" t="inlineStr">
        <is>
          <t>Faturamento no mês 3</t>
        </is>
      </c>
    </row>
    <row r="17">
      <c r="A17" s="21" t="inlineStr">
        <is>
          <t>Ruim</t>
        </is>
      </c>
      <c r="B17" s="40">
        <f>N7</f>
        <v/>
      </c>
      <c r="C17" s="26">
        <f>O7</f>
        <v/>
      </c>
      <c r="D17" s="40">
        <f>G7</f>
        <v/>
      </c>
    </row>
    <row r="18">
      <c r="A18" s="21" t="inlineStr">
        <is>
          <t>Médio</t>
        </is>
      </c>
      <c r="B18" s="40">
        <f>N10</f>
        <v/>
      </c>
      <c r="C18" s="26">
        <f>O10</f>
        <v/>
      </c>
      <c r="D18" s="40">
        <f>G10</f>
        <v/>
      </c>
    </row>
    <row r="19">
      <c r="A19" s="21" t="inlineStr">
        <is>
          <t>Bom</t>
        </is>
      </c>
      <c r="B19" s="40">
        <f>N13</f>
        <v/>
      </c>
      <c r="C19" s="26">
        <f>O13</f>
        <v/>
      </c>
      <c r="D19" s="40">
        <f>G13</f>
        <v/>
      </c>
    </row>
  </sheetData>
  <autoFilter ref="A16:D19"/>
  <mergeCells count="2">
    <mergeCell ref="A1:O1"/>
    <mergeCell ref="A2:O2"/>
  </mergeCells>
  <conditionalFormatting sqref="O5:O13">
    <cfRule type="expression" priority="1" dxfId="0">
      <formula>=O5&gt;=0.30</formula>
    </cfRule>
    <cfRule type="expression" priority="2" dxfId="1">
      <formula>=AND(O5&gt;=0.20,O5&lt;0.30)</formula>
    </cfRule>
    <cfRule type="expression" priority="3" dxfId="2">
      <formula>=O5&lt;0.20</formula>
    </cfRule>
  </conditionalFormatting>
  <conditionalFormatting sqref="N5:N13">
    <cfRule type="expression" priority="4" dxfId="2">
      <formula>=$N5&lt;0</formula>
    </cfRule>
    <cfRule type="expression" priority="5" dxfId="0">
      <formula>=$N5&gt;=0</formula>
    </cfRule>
  </conditionalFormatting>
  <conditionalFormatting sqref="C17:C19">
    <cfRule type="expression" priority="6" dxfId="0">
      <formula>=C17&gt;=0.30</formula>
    </cfRule>
    <cfRule type="expression" priority="7" dxfId="1">
      <formula>=AND(C17&gt;=0.20,C17&lt;0.30)</formula>
    </cfRule>
    <cfRule type="expression" priority="8" dxfId="2">
      <formula>=C17&lt;0.20</formula>
    </cfRule>
  </conditionalFormatting>
  <pageMargins left="0.25" right="0.25" top="0.5" bottom="0.5" header="0.2" footer="0.2"/>
  <pageSetup orientation="landscape"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7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E1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0" customWidth="1" min="4" max="4"/>
    <col width="42" customWidth="1" min="5" max="5"/>
  </cols>
  <sheetData>
    <row r="1">
      <c r="A1" s="24" t="inlineStr">
        <is>
          <t>Categoria</t>
        </is>
      </c>
      <c r="B1" s="24" t="inlineStr">
        <is>
          <t>Item</t>
        </is>
      </c>
      <c r="C1" s="24" t="inlineStr">
        <is>
          <t>Obrigatório?</t>
        </is>
      </c>
      <c r="D1" s="24" t="inlineStr">
        <is>
          <t>Status</t>
        </is>
      </c>
      <c r="E1" s="24" t="inlineStr">
        <is>
          <t>Observação</t>
        </is>
      </c>
    </row>
    <row r="2">
      <c r="A2" s="21" t="inlineStr">
        <is>
          <t>Nicho</t>
        </is>
      </c>
      <c r="B2" s="21" t="inlineStr">
        <is>
          <t>Nicho escolhido</t>
        </is>
      </c>
      <c r="C2" s="21" t="inlineStr">
        <is>
          <t>Sim</t>
        </is>
      </c>
      <c r="D2" s="21" t="inlineStr">
        <is>
          <t>Pendente</t>
        </is>
      </c>
      <c r="E2" s="21" t="inlineStr">
        <is>
          <t>Validar demanda, margem e risco.</t>
        </is>
      </c>
    </row>
    <row r="3">
      <c r="A3" s="21" t="inlineStr">
        <is>
          <t>Produto</t>
        </is>
      </c>
      <c r="B3" s="21" t="inlineStr">
        <is>
          <t>Produto validado</t>
        </is>
      </c>
      <c r="C3" s="21" t="inlineStr">
        <is>
          <t>Sim</t>
        </is>
      </c>
      <c r="D3" s="21" t="inlineStr">
        <is>
          <t>Pendente</t>
        </is>
      </c>
      <c r="E3" s="21" t="inlineStr">
        <is>
          <t>Checar utilidade, amostra e defeitos.</t>
        </is>
      </c>
    </row>
    <row r="4">
      <c r="A4" s="21" t="inlineStr">
        <is>
          <t>Fornecedor</t>
        </is>
      </c>
      <c r="B4" s="21" t="inlineStr">
        <is>
          <t>Fornecedor analisado</t>
        </is>
      </c>
      <c r="C4" s="21" t="inlineStr">
        <is>
          <t>Sim</t>
        </is>
      </c>
      <c r="D4" s="21" t="inlineStr">
        <is>
          <t>Pendente</t>
        </is>
      </c>
      <c r="E4" s="21" t="inlineStr">
        <is>
          <t>Confirmar prazo, estoque, rastreio e qualidade.</t>
        </is>
      </c>
    </row>
    <row r="5">
      <c r="A5" s="21" t="inlineStr">
        <is>
          <t>Validação</t>
        </is>
      </c>
      <c r="B5" s="21" t="inlineStr">
        <is>
          <t>Amostra comprada ou validada</t>
        </is>
      </c>
      <c r="C5" s="21" t="inlineStr">
        <is>
          <t>Sim</t>
        </is>
      </c>
      <c r="D5" s="21" t="inlineStr">
        <is>
          <t>Pendente</t>
        </is>
      </c>
      <c r="E5" s="21" t="inlineStr">
        <is>
          <t>Testar antes do anúncio pago.</t>
        </is>
      </c>
    </row>
    <row r="6">
      <c r="A6" s="21" t="inlineStr">
        <is>
          <t>Finanças</t>
        </is>
      </c>
      <c r="B6" s="21" t="inlineStr">
        <is>
          <t>Margem calculada</t>
        </is>
      </c>
      <c r="C6" s="21" t="inlineStr">
        <is>
          <t>Sim</t>
        </is>
      </c>
      <c r="D6" s="21" t="inlineStr">
        <is>
          <t>Pendente</t>
        </is>
      </c>
      <c r="E6" s="21" t="inlineStr">
        <is>
          <t>Usar a aba de precificação.</t>
        </is>
      </c>
    </row>
    <row r="7">
      <c r="A7" s="21" t="inlineStr">
        <is>
          <t>Loja</t>
        </is>
      </c>
      <c r="B7" s="21" t="inlineStr">
        <is>
          <t>Loja revisada</t>
        </is>
      </c>
      <c r="C7" s="21" t="inlineStr">
        <is>
          <t>Sim</t>
        </is>
      </c>
      <c r="D7" s="21" t="inlineStr">
        <is>
          <t>Pendente</t>
        </is>
      </c>
      <c r="E7" s="21" t="inlineStr">
        <is>
          <t>Checar páginas, imagens, CTA e confiança.</t>
        </is>
      </c>
    </row>
    <row r="8">
      <c r="A8" s="21" t="inlineStr">
        <is>
          <t>Checkout</t>
        </is>
      </c>
      <c r="B8" s="21" t="inlineStr">
        <is>
          <t>Checkout testado</t>
        </is>
      </c>
      <c r="C8" s="21" t="inlineStr">
        <is>
          <t>Sim</t>
        </is>
      </c>
      <c r="D8" s="21" t="inlineStr">
        <is>
          <t>Pendente</t>
        </is>
      </c>
      <c r="E8" s="21" t="inlineStr">
        <is>
          <t>Validar pagamento, e-mails e pedido.</t>
        </is>
      </c>
    </row>
    <row r="9">
      <c r="A9" s="21" t="inlineStr">
        <is>
          <t>Políticas</t>
        </is>
      </c>
      <c r="B9" s="21" t="inlineStr">
        <is>
          <t>Políticas criadas</t>
        </is>
      </c>
      <c r="C9" s="21" t="inlineStr">
        <is>
          <t>Sim</t>
        </is>
      </c>
      <c r="D9" s="21" t="inlineStr">
        <is>
          <t>Pendente</t>
        </is>
      </c>
      <c r="E9" s="21" t="inlineStr">
        <is>
          <t>Troca, privacidade, termos e prazo.</t>
        </is>
      </c>
    </row>
    <row r="10">
      <c r="A10" s="21" t="inlineStr">
        <is>
          <t>Prazo</t>
        </is>
      </c>
      <c r="B10" s="21" t="inlineStr">
        <is>
          <t>Prazo de entrega claro</t>
        </is>
      </c>
      <c r="C10" s="21" t="inlineStr">
        <is>
          <t>Sim</t>
        </is>
      </c>
      <c r="D10" s="21" t="inlineStr">
        <is>
          <t>Pendente</t>
        </is>
      </c>
      <c r="E10" s="21" t="inlineStr">
        <is>
          <t>Não prometer prazo curto sem base.</t>
        </is>
      </c>
    </row>
    <row r="11">
      <c r="A11" s="21" t="inlineStr">
        <is>
          <t>Atendimento</t>
        </is>
      </c>
      <c r="B11" s="21" t="inlineStr">
        <is>
          <t>Suporte configurado</t>
        </is>
      </c>
      <c r="C11" s="21" t="inlineStr">
        <is>
          <t>Sim</t>
        </is>
      </c>
      <c r="D11" s="21" t="inlineStr">
        <is>
          <t>Pendente</t>
        </is>
      </c>
      <c r="E11" s="21" t="inlineStr">
        <is>
          <t>WhatsApp e e-mail com rotina diária.</t>
        </is>
      </c>
    </row>
    <row r="12">
      <c r="A12" s="21" t="inlineStr">
        <is>
          <t>Criativos</t>
        </is>
      </c>
      <c r="B12" s="21" t="inlineStr">
        <is>
          <t>Criativos prontos</t>
        </is>
      </c>
      <c r="C12" s="21" t="inlineStr">
        <is>
          <t>Sim</t>
        </is>
      </c>
      <c r="D12" s="21" t="inlineStr">
        <is>
          <t>Pendente</t>
        </is>
      </c>
      <c r="E12" s="21" t="inlineStr">
        <is>
          <t>Vídeos curtos, claros e sem promessa exagerada.</t>
        </is>
      </c>
    </row>
    <row r="13">
      <c r="A13" s="21" t="inlineStr">
        <is>
          <t>Anúncios</t>
        </is>
      </c>
      <c r="B13" s="21" t="inlineStr">
        <is>
          <t>Anúncios configurados</t>
        </is>
      </c>
      <c r="C13" s="21" t="inlineStr">
        <is>
          <t>Sim</t>
        </is>
      </c>
      <c r="D13" s="21" t="inlineStr">
        <is>
          <t>Pendente</t>
        </is>
      </c>
      <c r="E13" s="21" t="inlineStr">
        <is>
          <t>Testes pequenos com CPA máximo definido.</t>
        </is>
      </c>
    </row>
    <row r="14">
      <c r="A14" s="21" t="inlineStr">
        <is>
          <t>Tracking</t>
        </is>
      </c>
      <c r="B14" s="21" t="inlineStr">
        <is>
          <t>Pixel instalado</t>
        </is>
      </c>
      <c r="C14" s="21" t="inlineStr">
        <is>
          <t>Sim</t>
        </is>
      </c>
      <c r="D14" s="21" t="inlineStr">
        <is>
          <t>Pendente</t>
        </is>
      </c>
      <c r="E14" s="21" t="inlineStr">
        <is>
          <t>Meta Pixel, TikTok Pixel e eventos quando aplicável.</t>
        </is>
      </c>
    </row>
    <row r="15">
      <c r="A15" s="21" t="inlineStr">
        <is>
          <t>Analytics</t>
        </is>
      </c>
      <c r="B15" s="21" t="inlineStr">
        <is>
          <t>Analytics instalado</t>
        </is>
      </c>
      <c r="C15" s="21" t="inlineStr">
        <is>
          <t>Sim</t>
        </is>
      </c>
      <c r="D15" s="21" t="inlineStr">
        <is>
          <t>Pendente</t>
        </is>
      </c>
      <c r="E15" s="21" t="inlineStr">
        <is>
          <t>Google Analytics ou alternativa.</t>
        </is>
      </c>
    </row>
    <row r="16">
      <c r="A16" s="21" t="inlineStr">
        <is>
          <t>Finanças</t>
        </is>
      </c>
      <c r="B16" s="21" t="inlineStr">
        <is>
          <t>Reserva para reembolso</t>
        </is>
      </c>
      <c r="C16" s="21" t="inlineStr">
        <is>
          <t>Sim</t>
        </is>
      </c>
      <c r="D16" s="21" t="inlineStr">
        <is>
          <t>Pendente</t>
        </is>
      </c>
      <c r="E16" s="21" t="inlineStr">
        <is>
          <t>Separar caixa antes de escalar.</t>
        </is>
      </c>
    </row>
    <row r="17">
      <c r="A17" s="21" t="inlineStr">
        <is>
          <t>Atendimento</t>
        </is>
      </c>
      <c r="B17" s="21" t="inlineStr">
        <is>
          <t>Plano de atendimento</t>
        </is>
      </c>
      <c r="C17" s="21" t="inlineStr">
        <is>
          <t>Sim</t>
        </is>
      </c>
      <c r="D17" s="21" t="inlineStr">
        <is>
          <t>Pendente</t>
        </is>
      </c>
      <c r="E17" s="21" t="inlineStr">
        <is>
          <t>Responder em até 24h úteis.</t>
        </is>
      </c>
    </row>
    <row r="18">
      <c r="A18" s="21" t="inlineStr">
        <is>
          <t>Conteúdo</t>
        </is>
      </c>
      <c r="B18" s="21" t="inlineStr">
        <is>
          <t>Plano de conteúdo</t>
        </is>
      </c>
      <c r="C18" s="21" t="inlineStr">
        <is>
          <t>Sim</t>
        </is>
      </c>
      <c r="D18" s="21" t="inlineStr">
        <is>
          <t>Pendente</t>
        </is>
      </c>
      <c r="E18" s="21" t="inlineStr">
        <is>
          <t>TikTok, Reels, Shorts e Pinterest se fizer sentido.</t>
        </is>
      </c>
    </row>
    <row r="19">
      <c r="A19" s="21" t="inlineStr">
        <is>
          <t>Escala</t>
        </is>
      </c>
      <c r="B19" s="21" t="inlineStr">
        <is>
          <t>Plano de escala</t>
        </is>
      </c>
      <c r="C19" s="21" t="inlineStr">
        <is>
          <t>Sim</t>
        </is>
      </c>
      <c r="D19" s="21" t="inlineStr">
        <is>
          <t>Pendente</t>
        </is>
      </c>
      <c r="E19" s="21" t="inlineStr">
        <is>
          <t>Aumentar orçamento apenas com margem positiva.</t>
        </is>
      </c>
    </row>
  </sheetData>
  <autoFilter ref="A1:E19"/>
  <conditionalFormatting sqref="D2:D19">
    <cfRule type="expression" priority="1" dxfId="0">
      <formula>=$D2="Feito"</formula>
    </cfRule>
    <cfRule type="expression" priority="2" dxfId="2">
      <formula>=$D2="Bloqueado"</formula>
    </cfRule>
  </conditionalFormatting>
  <dataValidations count="2">
    <dataValidation sqref="C2:C19" showDropDown="0" showInputMessage="0" showErrorMessage="0" allowBlank="1" errorTitle="Valor inválido" error="Escolha uma opção da lista." type="list">
      <formula1>"Sim,Não,Parcial"</formula1>
    </dataValidation>
    <dataValidation sqref="D2:D19" showDropDown="0" showInputMessage="0" showErrorMessage="0" allowBlank="0" errorTitle="Valor inválido" error="Escolha uma opção da lista." promptTitle="Opções" prompt="Escolha: Pendente, Em andamento, Feito ou Bloqueado." type="list">
      <formula1>"Pendente,Em andamento,Feito,Bloqueado"</formula1>
    </dataValidation>
  </dataValidations>
  <pageMargins left="0.25" right="0.25" top="0.5" bottom="0.5" header="0.2" footer="0.2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Planejamento Dropshipping Brasil</dc:title>
  <dc:description>Planilha profissional com nichos, produtos, fornecedores, custos, precificação, marketing, riscos, legal, cronograma e projeção financeira.</dc:description>
  <dc:subject>Planejamento realista para dropshipping com baixo risco inicial</dc:subject>
  <dcterms:created xsi:type="dcterms:W3CDTF">2026-07-04T00:50:35Z</dcterms:created>
  <dcterms:modified xsi:type="dcterms:W3CDTF">2026-07-04T00:50:36Z</dcterms:modified>
  <cp:category>Planejamento</cp:category>
  <cp:keywords>dropshipping, Brasil, planejamento, precificação, riscos</cp:keywords>
</cp:coreProperties>
</file>